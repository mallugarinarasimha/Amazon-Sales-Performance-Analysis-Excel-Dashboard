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2b3fddb34f085850/Desktop/"/>
    </mc:Choice>
  </mc:AlternateContent>
  <xr:revisionPtr revIDLastSave="0" documentId="8_{DC2F226C-80EE-492A-AB84-600E1C41F645}" xr6:coauthVersionLast="47" xr6:coauthVersionMax="47" xr10:uidLastSave="{00000000-0000-0000-0000-000000000000}"/>
  <bookViews>
    <workbookView xWindow="-110" yWindow="-110" windowWidth="19420" windowHeight="11500" activeTab="1" xr2:uid="{849B6EB1-75FE-4D5B-A60D-E177743F3603}"/>
  </bookViews>
  <sheets>
    <sheet name="PIVOT TABLE " sheetId="2" r:id="rId1"/>
    <sheet name="DASHBOARD" sheetId="3" r:id="rId2"/>
    <sheet name="amazon_sales_data 2025" sheetId="1" r:id="rId3"/>
  </sheets>
  <definedNames>
    <definedName name="_xlnm._FilterDatabase" localSheetId="2" hidden="1">'amazon_sales_data 2025'!$A$1:$P$251</definedName>
    <definedName name="_xlnm._FilterDatabase" localSheetId="0" hidden="1">'PIVOT TABLE '!$S$33:$V$34</definedName>
    <definedName name="Slicer_Category">#N/A</definedName>
    <definedName name="Slicer_Customer_Location">#N/A</definedName>
    <definedName name="Slicer_Month">#N/A</definedName>
    <definedName name="Slicer_Status">#N/A</definedName>
  </definedNames>
  <calcPr calcId="0"/>
  <pivotCaches>
    <pivotCache cacheId="37" r:id="rId4"/>
    <pivotCache cacheId="23" r:id="rId5"/>
    <pivotCache cacheId="3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4" i="2" l="1"/>
  <c r="U34" i="2"/>
  <c r="T34" i="2"/>
  <c r="S34"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 i="1"/>
  <c r="N2" i="1" a="1"/>
  <c r="M2" i="1" a="1"/>
  <c r="L2"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<sst xmlns="http://schemas.openxmlformats.org/spreadsheetml/2006/main" count="1901" uniqueCount="328">
  <si>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</si>
  <si>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</si>
  <si>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</si>
  <si>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</si>
  <si>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</si>
  <si>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</si>
  <si>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</si>
  <si>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</si>
  <si>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</si>
  <si>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</si>
  <si>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</si>
  <si>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</si>
  <si>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</si>
  <si>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</si>
  <si>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</si>
  <si>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</si>
  <si>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</si>
  <si>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</si>
  <si>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</si>
  <si>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</si>
  <si>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</si>
  <si>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</si>
  <si>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</si>
  <si>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</si>
  <si>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</si>
  <si>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</si>
  <si>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</si>
  <si>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</si>
  <si>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</si>
  <si>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</si>
  <si>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</si>
  <si>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</si>
  <si>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</si>
  <si>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</si>
  <si>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</si>
  <si>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</si>
  <si>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</si>
  <si>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</si>
  <si>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</si>
  <si>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</si>
  <si>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</si>
  <si>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</si>
  <si>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</si>
  <si>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</si>
  <si>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</si>
  <si>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</si>
  <si>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</si>
  <si>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</si>
  <si>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</si>
  <si>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</si>
  <si>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</si>
  <si>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</si>
  <si>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</si>
  <si>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</si>
  <si>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</si>
  <si>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</si>
  <si>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</si>
  <si>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</si>
  <si>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</si>
  <si>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</si>
  <si>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</si>
  <si>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</si>
  <si>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</si>
  <si>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</si>
  <si>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</si>
  <si>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</si>
  <si>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</si>
  <si>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</si>
  <si>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</si>
  <si>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</si>
  <si>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</si>
  <si>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</si>
  <si>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</si>
  <si>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</si>
  <si>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</si>
  <si>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</si>
  <si>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</si>
  <si>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</si>
  <si>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</si>
  <si>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</si>
  <si>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</si>
  <si>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</si>
  <si>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</si>
  <si>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</si>
  <si>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</si>
  <si>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</si>
  <si>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</si>
  <si>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</si>
  <si>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</si>
  <si>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</si>
  <si>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</si>
  <si>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</si>
  <si>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</si>
  <si>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</si>
  <si>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</si>
  <si>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</si>
  <si>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</si>
  <si>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</si>
  <si>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</si>
  <si>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</si>
  <si>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</si>
  <si>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</si>
  <si>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</si>
  <si>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</si>
  <si>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</si>
  <si>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</si>
  <si>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</si>
  <si>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</si>
  <si>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</si>
  <si>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</si>
  <si>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</si>
  <si>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</si>
  <si>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</si>
  <si>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</si>
  <si>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</si>
  <si>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</si>
  <si>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</si>
  <si>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</si>
  <si>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</si>
  <si>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</si>
  <si>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</si>
  <si>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</si>
  <si>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</si>
  <si>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</si>
  <si>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</si>
  <si>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</si>
  <si>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</si>
  <si>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</si>
  <si>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</si>
  <si>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</si>
  <si>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</si>
  <si>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</si>
  <si>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</si>
  <si>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</si>
  <si>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</si>
  <si>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</si>
  <si>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</si>
  <si>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</si>
  <si>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</si>
  <si>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</si>
  <si>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</si>
  <si>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</si>
  <si>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</si>
  <si>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</si>
  <si>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</si>
  <si>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</si>
  <si>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</si>
  <si>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</si>
  <si>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</si>
  <si>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</si>
  <si>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</si>
  <si>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</si>
  <si>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</si>
  <si>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</si>
  <si>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</si>
  <si>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</si>
  <si>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</si>
  <si>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</si>
  <si>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</si>
  <si>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</si>
  <si>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</si>
  <si>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</si>
  <si>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</si>
  <si>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</si>
  <si>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</si>
  <si>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</si>
  <si>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</si>
  <si>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</si>
  <si>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</si>
  <si>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</si>
  <si>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</si>
  <si>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</si>
  <si>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</si>
  <si>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</si>
  <si>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</si>
  <si>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</si>
  <si>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</si>
  <si>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</si>
  <si>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</si>
  <si>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</si>
  <si>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</si>
  <si>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</si>
  <si>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</si>
  <si>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</si>
  <si>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</si>
  <si>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</si>
  <si>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</si>
  <si>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</si>
  <si>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</si>
  <si>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</si>
  <si>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</si>
  <si>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</si>
  <si>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</si>
  <si>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</si>
  <si>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</si>
  <si>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</si>
  <si>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</si>
  <si>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</si>
  <si>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</si>
  <si>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</si>
  <si>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</si>
  <si>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</si>
  <si>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</si>
  <si>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</si>
  <si>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</si>
  <si>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</si>
  <si>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</si>
  <si>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</si>
  <si>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</si>
  <si>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</si>
  <si>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</si>
  <si>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</si>
  <si>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</si>
  <si>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</si>
  <si>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</si>
  <si>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</si>
  <si>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</si>
  <si>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</si>
  <si>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</si>
  <si>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</si>
  <si>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</si>
  <si>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</si>
  <si>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</si>
  <si>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</si>
  <si>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</si>
  <si>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</si>
  <si>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</si>
  <si>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</si>
  <si>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</si>
  <si>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</si>
  <si>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</si>
  <si>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</si>
  <si>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</si>
  <si>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</si>
  <si>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</si>
  <si>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</si>
  <si>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</si>
  <si>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</si>
  <si>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</si>
  <si>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</si>
  <si>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</si>
  <si>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</si>
  <si>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</si>
  <si>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</si>
  <si>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</si>
  <si>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</si>
  <si>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</si>
  <si>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</si>
  <si>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</si>
  <si>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</si>
  <si>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</si>
  <si>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</si>
  <si>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</si>
  <si>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</si>
  <si>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</si>
  <si>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</si>
  <si>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</si>
  <si>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</si>
  <si>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</si>
  <si>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</si>
  <si>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</si>
  <si>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</si>
  <si>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</si>
  <si>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</si>
  <si>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</si>
  <si>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</si>
  <si>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</si>
  <si>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</si>
  <si>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</si>
  <si>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</si>
  <si>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</si>
  <si>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</si>
  <si>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</si>
  <si>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</si>
  <si>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</si>
  <si>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</si>
  <si>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</si>
  <si>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</si>
  <si>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</si>
  <si>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</si>
  <si>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</si>
  <si>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</si>
  <si>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</si>
  <si>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</si>
  <si>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</si>
  <si>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</si>
  <si>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</si>
  <si>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</si>
  <si>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</si>
  <si>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</si>
  <si>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</si>
  <si>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</si>
  <si>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</si>
  <si>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</si>
  <si>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</si>
  <si>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</si>
  <si>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</si>
  <si>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</si>
  <si>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</si>
  <si>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</si>
  <si>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</si>
  <si>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</si>
  <si>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</si>
  <si>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</si>
  <si>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</si>
  <si>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Year</t>
  </si>
  <si>
    <t>Month-Year</t>
  </si>
  <si>
    <t>ORDER FLAG STATUS</t>
  </si>
  <si>
    <t>Row Labels</t>
  </si>
  <si>
    <t>(blank)</t>
  </si>
  <si>
    <t>Grand Total</t>
  </si>
  <si>
    <t>Sum of Total Sales</t>
  </si>
  <si>
    <t>Count of Total Sales</t>
  </si>
  <si>
    <t>Count of Customer Name</t>
  </si>
  <si>
    <t>Count of Category</t>
  </si>
  <si>
    <t>2025-02</t>
  </si>
  <si>
    <t>2025-03</t>
  </si>
  <si>
    <t>2025-04</t>
  </si>
  <si>
    <t>Count of Quantity</t>
  </si>
  <si>
    <t xml:space="preserve">             </t>
  </si>
  <si>
    <t>Count of Order ID</t>
  </si>
  <si>
    <t>Average of Total Sales2</t>
  </si>
  <si>
    <t>Values</t>
  </si>
  <si>
    <t>TOTAL SALES 1</t>
  </si>
  <si>
    <t>TOTAL SALES</t>
  </si>
  <si>
    <t>AVERAGE SALES</t>
  </si>
  <si>
    <t>COUNT OF ORDER ID</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</si>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</sst>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5" tint="0.3999755851924192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6FFCC"/>
        <bgColor indexed="64"/>
      </patternFill>
    </fill>
    <fill>
      <patternFill patternType="solid">
        <fgColor rgb="FF00B0F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33" borderId="0" xfId="0" applyFill="1"/>
    <xf numFmtId="0" fontId="0" fillId="34" borderId="0" xfId="0" applyFill="1"/>
    <xf numFmtId="0" fontId="18" fillId="34" borderId="0" xfId="0" applyFont="1" applyFill="1"/>
    <xf numFmtId="0" fontId="16" fillId="34" borderId="0" xfId="0" applyFont="1" applyFill="1"/>
    <xf numFmtId="0" fontId="0"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2F476"/>
      <color rgb="FF66FFCC"/>
      <color rgb="FFC7C6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!PivotTable1</c:name>
    <c:fmtId val="2"/>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'!$A$4:$A$10</c:f>
              <c:strCache>
                <c:ptCount val="6"/>
                <c:pt idx="0">
                  <c:v>Books</c:v>
                </c:pt>
                <c:pt idx="1">
                  <c:v>Clothing</c:v>
                </c:pt>
                <c:pt idx="2">
                  <c:v>Electronics</c:v>
                </c:pt>
                <c:pt idx="3">
                  <c:v>Footwear</c:v>
                </c:pt>
                <c:pt idx="4">
                  <c:v>Home Appliances</c:v>
                </c:pt>
                <c:pt idx="5">
                  <c:v>(blank)</c:v>
                </c:pt>
              </c:strCache>
            </c:strRef>
          </c:cat>
          <c:val>
            <c:numRef>
              <c:f>'PIVOT TABLE '!$B$4:$B$10</c:f>
              <c:numCache>
                <c:formatCode>General</c:formatCode>
                <c:ptCount val="6"/>
                <c:pt idx="0">
                  <c:v>1035</c:v>
                </c:pt>
                <c:pt idx="1">
                  <c:v>3540</c:v>
                </c:pt>
                <c:pt idx="2">
                  <c:v>129950</c:v>
                </c:pt>
                <c:pt idx="3">
                  <c:v>4320</c:v>
                </c:pt>
                <c:pt idx="4">
                  <c:v>105000</c:v>
                </c:pt>
              </c:numCache>
            </c:numRef>
          </c:val>
          <c:extLst>
            <c:ext xmlns:c16="http://schemas.microsoft.com/office/drawing/2014/chart" uri="{C3380CC4-5D6E-409C-BE32-E72D297353CC}">
              <c16:uniqueId val="{00000000-436A-44BB-8B14-D91A4635837C}"/>
            </c:ext>
          </c:extLst>
        </c:ser>
        <c:dLbls>
          <c:dLblPos val="inEnd"/>
          <c:showLegendKey val="0"/>
          <c:showVal val="1"/>
          <c:showCatName val="0"/>
          <c:showSerName val="0"/>
          <c:showPercent val="0"/>
          <c:showBubbleSize val="0"/>
        </c:dLbls>
        <c:gapWidth val="100"/>
        <c:overlap val="-24"/>
        <c:axId val="1225937247"/>
        <c:axId val="826552751"/>
      </c:barChart>
      <c:catAx>
        <c:axId val="1225937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26552751"/>
        <c:crosses val="autoZero"/>
        <c:auto val="1"/>
        <c:lblAlgn val="ctr"/>
        <c:lblOffset val="100"/>
        <c:noMultiLvlLbl val="0"/>
      </c:catAx>
      <c:valAx>
        <c:axId val="82655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2593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a:scene3d>
      <a:camera prst="orthographicFront"/>
      <a:lightRig rig="threePt" dir="t"/>
    </a:scene3d>
    <a:sp3d prstMaterial="matte">
      <a:bevelT w="63500" h="63500" prst="artDeco"/>
      <a:contourClr>
        <a:srgbClr val="000000"/>
      </a:contourClr>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'!$B$12</c:f>
              <c:strCache>
                <c:ptCount val="1"/>
                <c:pt idx="0">
                  <c:v>Total</c:v>
                </c:pt>
              </c:strCache>
            </c:strRef>
          </c:tx>
          <c:spPr>
            <a:solidFill>
              <a:schemeClr val="accent1"/>
            </a:solidFill>
            <a:ln>
              <a:noFill/>
            </a:ln>
            <a:effectLst/>
          </c:spPr>
          <c:invertIfNegative val="0"/>
          <c:cat>
            <c:strRef>
              <c:f>'PIVOT TABLE '!$A$13:$A$23</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'PIVOT TABLE '!$B$13:$B$23</c:f>
              <c:numCache>
                <c:formatCode>0.00</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F3C3-48A3-8E36-6B0B729CBFCB}"/>
            </c:ext>
          </c:extLst>
        </c:ser>
        <c:dLbls>
          <c:showLegendKey val="0"/>
          <c:showVal val="0"/>
          <c:showCatName val="0"/>
          <c:showSerName val="0"/>
          <c:showPercent val="0"/>
          <c:showBubbleSize val="0"/>
        </c:dLbls>
        <c:gapWidth val="182"/>
        <c:axId val="1225855119"/>
        <c:axId val="826499951"/>
      </c:barChart>
      <c:catAx>
        <c:axId val="122585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6499951"/>
        <c:crosses val="autoZero"/>
        <c:auto val="1"/>
        <c:lblAlgn val="ctr"/>
        <c:lblOffset val="100"/>
        <c:noMultiLvlLbl val="0"/>
      </c:catAx>
      <c:valAx>
        <c:axId val="826499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585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'!$D$4:$D$14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 '!$E$4:$E$14</c:f>
              <c:numCache>
                <c:formatCode>0.00</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1D9C-43B2-AFE5-6E1D8D36D6EC}"/>
            </c:ext>
          </c:extLst>
        </c:ser>
        <c:dLbls>
          <c:showLegendKey val="0"/>
          <c:showVal val="0"/>
          <c:showCatName val="0"/>
          <c:showSerName val="0"/>
          <c:showPercent val="0"/>
          <c:showBubbleSize val="0"/>
        </c:dLbls>
        <c:axId val="1365146095"/>
        <c:axId val="826689551"/>
      </c:areaChart>
      <c:catAx>
        <c:axId val="136514609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89551"/>
        <c:crosses val="autoZero"/>
        <c:auto val="1"/>
        <c:lblAlgn val="ctr"/>
        <c:lblOffset val="100"/>
        <c:noMultiLvlLbl val="0"/>
      </c:catAx>
      <c:valAx>
        <c:axId val="826689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46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!PivotTable4</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'!$E$17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8F-4F20-94B6-2232CDACED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8F-4F20-94B6-2232CDACEDF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8F-4F20-94B6-2232CDACEDF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58F-4F20-94B6-2232CDACEDF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58F-4F20-94B6-2232CDACED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'!$D$18:$D$23</c:f>
              <c:strCache>
                <c:ptCount val="5"/>
                <c:pt idx="0">
                  <c:v>Amazon Pay</c:v>
                </c:pt>
                <c:pt idx="1">
                  <c:v>Credit Card</c:v>
                </c:pt>
                <c:pt idx="2">
                  <c:v>Debit Card</c:v>
                </c:pt>
                <c:pt idx="3">
                  <c:v>Gift Card</c:v>
                </c:pt>
                <c:pt idx="4">
                  <c:v>PayPal</c:v>
                </c:pt>
              </c:strCache>
            </c:strRef>
          </c:cat>
          <c:val>
            <c:numRef>
              <c:f>'PIVOT TABLE '!$E$18:$E$23</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F58F-4F20-94B6-2232CDACEDF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!PivotTable5</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9EC-48B5-B061-4B02A24462D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9EC-48B5-B061-4B02A24462D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9EC-48B5-B061-4B02A24462D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9EC-48B5-B061-4B02A24462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'!$G$4:$G$8</c:f>
              <c:strCache>
                <c:ptCount val="4"/>
                <c:pt idx="0">
                  <c:v>Cancelled</c:v>
                </c:pt>
                <c:pt idx="1">
                  <c:v>Completed</c:v>
                </c:pt>
                <c:pt idx="2">
                  <c:v>Pending</c:v>
                </c:pt>
                <c:pt idx="3">
                  <c:v>(blank)</c:v>
                </c:pt>
              </c:strCache>
            </c:strRef>
          </c:cat>
          <c:val>
            <c:numRef>
              <c:f>'PIVOT TABLE '!$H$4:$H$8</c:f>
              <c:numCache>
                <c:formatCode>General</c:formatCode>
                <c:ptCount val="4"/>
                <c:pt idx="0">
                  <c:v>77</c:v>
                </c:pt>
                <c:pt idx="1">
                  <c:v>88</c:v>
                </c:pt>
                <c:pt idx="2">
                  <c:v>85</c:v>
                </c:pt>
              </c:numCache>
            </c:numRef>
          </c:val>
          <c:extLst>
            <c:ext xmlns:c16="http://schemas.microsoft.com/office/drawing/2014/chart" uri="{C3380CC4-5D6E-409C-BE32-E72D297353CC}">
              <c16:uniqueId val="{00000008-F9EC-48B5-B061-4B02A24462D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!PivotTable6</c:name>
    <c:fmtId val="2"/>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'!$H$11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'!$G$12:$G$23</c:f>
              <c:strCache>
                <c:ptCount val="11"/>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pt idx="10">
                  <c:v>(blank)</c:v>
                </c:pt>
              </c:strCache>
            </c:strRef>
          </c:cat>
          <c:val>
            <c:numRef>
              <c:f>'PIVOT TABLE '!$H$12:$H$23</c:f>
              <c:numCache>
                <c:formatCode>General</c:formatCode>
                <c:ptCount val="11"/>
                <c:pt idx="0">
                  <c:v>18885</c:v>
                </c:pt>
                <c:pt idx="1">
                  <c:v>18945</c:v>
                </c:pt>
                <c:pt idx="2">
                  <c:v>22665</c:v>
                </c:pt>
                <c:pt idx="3">
                  <c:v>23475</c:v>
                </c:pt>
                <c:pt idx="4">
                  <c:v>29700</c:v>
                </c:pt>
                <c:pt idx="5">
                  <c:v>31185</c:v>
                </c:pt>
                <c:pt idx="6">
                  <c:v>26870</c:v>
                </c:pt>
                <c:pt idx="7">
                  <c:v>22655</c:v>
                </c:pt>
                <c:pt idx="8">
                  <c:v>36170</c:v>
                </c:pt>
                <c:pt idx="9">
                  <c:v>13295</c:v>
                </c:pt>
              </c:numCache>
            </c:numRef>
          </c:val>
          <c:extLst>
            <c:ext xmlns:c16="http://schemas.microsoft.com/office/drawing/2014/chart" uri="{C3380CC4-5D6E-409C-BE32-E72D297353CC}">
              <c16:uniqueId val="{00000000-5116-42A7-A8B8-B76383F6FECA}"/>
            </c:ext>
          </c:extLst>
        </c:ser>
        <c:dLbls>
          <c:showLegendKey val="0"/>
          <c:showVal val="0"/>
          <c:showCatName val="0"/>
          <c:showSerName val="0"/>
          <c:showPercent val="0"/>
          <c:showBubbleSize val="0"/>
        </c:dLbls>
        <c:gapWidth val="115"/>
        <c:overlap val="-20"/>
        <c:axId val="1264409871"/>
        <c:axId val="826478831"/>
      </c:barChart>
      <c:catAx>
        <c:axId val="12644098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26478831"/>
        <c:crosses val="autoZero"/>
        <c:auto val="1"/>
        <c:lblAlgn val="ctr"/>
        <c:lblOffset val="100"/>
        <c:noMultiLvlLbl val="0"/>
      </c:catAx>
      <c:valAx>
        <c:axId val="826478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440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!PivotTable7</c:name>
    <c:fmtId val="2"/>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'!$K$3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'!$J$4:$J$7</c:f>
              <c:strCache>
                <c:ptCount val="3"/>
                <c:pt idx="0">
                  <c:v>2025-02</c:v>
                </c:pt>
                <c:pt idx="1">
                  <c:v>2025-03</c:v>
                </c:pt>
                <c:pt idx="2">
                  <c:v>2025-04</c:v>
                </c:pt>
              </c:strCache>
            </c:strRef>
          </c:cat>
          <c:val>
            <c:numRef>
              <c:f>'PIVOT TABLE '!$K$4:$K$7</c:f>
              <c:numCache>
                <c:formatCode>General</c:formatCode>
                <c:ptCount val="3"/>
                <c:pt idx="0">
                  <c:v>122695</c:v>
                </c:pt>
                <c:pt idx="1">
                  <c:v>117730</c:v>
                </c:pt>
                <c:pt idx="2">
                  <c:v>3420</c:v>
                </c:pt>
              </c:numCache>
            </c:numRef>
          </c:val>
          <c:smooth val="0"/>
          <c:extLst>
            <c:ext xmlns:c16="http://schemas.microsoft.com/office/drawing/2014/chart" uri="{C3380CC4-5D6E-409C-BE32-E72D297353CC}">
              <c16:uniqueId val="{00000000-DA72-4C05-A987-0F93378313AC}"/>
            </c:ext>
          </c:extLst>
        </c:ser>
        <c:dLbls>
          <c:showLegendKey val="0"/>
          <c:showVal val="0"/>
          <c:showCatName val="0"/>
          <c:showSerName val="0"/>
          <c:showPercent val="0"/>
          <c:showBubbleSize val="0"/>
        </c:dLbls>
        <c:marker val="1"/>
        <c:smooth val="0"/>
        <c:axId val="1264467871"/>
        <c:axId val="826497551"/>
      </c:lineChart>
      <c:catAx>
        <c:axId val="1264467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26497551"/>
        <c:crosses val="autoZero"/>
        <c:auto val="1"/>
        <c:lblAlgn val="ctr"/>
        <c:lblOffset val="100"/>
        <c:noMultiLvlLbl val="0"/>
      </c:catAx>
      <c:valAx>
        <c:axId val="82649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44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scene3d>
      <a:camera prst="orthographicFront"/>
      <a:lightRig rig="balanced" dir="t">
        <a:rot lat="0" lon="0" rev="8700000"/>
      </a:lightRig>
    </a:scene3d>
    <a:sp3d>
      <a:bevelT w="190500" h="381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'!$K$9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'!$J$10:$J$21</c:f>
              <c:strCache>
                <c:ptCount val="11"/>
                <c:pt idx="0">
                  <c:v>Book</c:v>
                </c:pt>
                <c:pt idx="1">
                  <c:v>Headphones</c:v>
                </c:pt>
                <c:pt idx="2">
                  <c:v>Jeans</c:v>
                </c:pt>
                <c:pt idx="3">
                  <c:v>Laptop</c:v>
                </c:pt>
                <c:pt idx="4">
                  <c:v>Refrigerator</c:v>
                </c:pt>
                <c:pt idx="5">
                  <c:v>Running Shoes</c:v>
                </c:pt>
                <c:pt idx="6">
                  <c:v>Smartphone</c:v>
                </c:pt>
                <c:pt idx="7">
                  <c:v>Smartwatch</c:v>
                </c:pt>
                <c:pt idx="8">
                  <c:v>T-Shirt</c:v>
                </c:pt>
                <c:pt idx="9">
                  <c:v>Washing Machine</c:v>
                </c:pt>
                <c:pt idx="10">
                  <c:v>(blank)</c:v>
                </c:pt>
              </c:strCache>
            </c:strRef>
          </c:cat>
          <c:val>
            <c:numRef>
              <c:f>'PIVOT TABLE '!$K$10:$K$21</c:f>
              <c:numCache>
                <c:formatCode>General</c:formatCode>
                <c:ptCount val="11"/>
                <c:pt idx="0">
                  <c:v>25</c:v>
                </c:pt>
                <c:pt idx="1">
                  <c:v>25</c:v>
                </c:pt>
                <c:pt idx="2">
                  <c:v>20</c:v>
                </c:pt>
                <c:pt idx="3">
                  <c:v>24</c:v>
                </c:pt>
                <c:pt idx="4">
                  <c:v>24</c:v>
                </c:pt>
                <c:pt idx="5">
                  <c:v>27</c:v>
                </c:pt>
                <c:pt idx="6">
                  <c:v>35</c:v>
                </c:pt>
                <c:pt idx="7">
                  <c:v>34</c:v>
                </c:pt>
                <c:pt idx="8">
                  <c:v>20</c:v>
                </c:pt>
                <c:pt idx="9">
                  <c:v>16</c:v>
                </c:pt>
              </c:numCache>
            </c:numRef>
          </c:val>
          <c:extLst>
            <c:ext xmlns:c16="http://schemas.microsoft.com/office/drawing/2014/chart" uri="{C3380CC4-5D6E-409C-BE32-E72D297353CC}">
              <c16:uniqueId val="{00000000-4DEF-476D-8B9A-F9C6092EA140}"/>
            </c:ext>
          </c:extLst>
        </c:ser>
        <c:dLbls>
          <c:showLegendKey val="0"/>
          <c:showVal val="0"/>
          <c:showCatName val="0"/>
          <c:showSerName val="0"/>
          <c:showPercent val="0"/>
          <c:showBubbleSize val="0"/>
        </c:dLbls>
        <c:gapWidth val="150"/>
        <c:overlap val="100"/>
        <c:axId val="1264440031"/>
        <c:axId val="826715471"/>
      </c:barChart>
      <c:catAx>
        <c:axId val="1264440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6715471"/>
        <c:crosses val="autoZero"/>
        <c:auto val="1"/>
        <c:lblAlgn val="ctr"/>
        <c:lblOffset val="100"/>
        <c:noMultiLvlLbl val="0"/>
      </c:catAx>
      <c:valAx>
        <c:axId val="82671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444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 !PivotTable10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'!$N$3</c:f>
              <c:strCache>
                <c:ptCount val="1"/>
                <c:pt idx="0">
                  <c:v>Total</c:v>
                </c:pt>
              </c:strCache>
            </c:strRef>
          </c:tx>
          <c:spPr>
            <a:solidFill>
              <a:schemeClr val="accent1"/>
            </a:solidFill>
            <a:ln>
              <a:noFill/>
            </a:ln>
            <a:effectLst/>
          </c:spPr>
          <c:invertIfNegative val="0"/>
          <c:cat>
            <c:strRef>
              <c:f>'PIVOT TABLE '!$M$4:$M$10</c:f>
              <c:strCache>
                <c:ptCount val="6"/>
                <c:pt idx="0">
                  <c:v>Books</c:v>
                </c:pt>
                <c:pt idx="1">
                  <c:v>Clothing</c:v>
                </c:pt>
                <c:pt idx="2">
                  <c:v>Electronics</c:v>
                </c:pt>
                <c:pt idx="3">
                  <c:v>Footwear</c:v>
                </c:pt>
                <c:pt idx="4">
                  <c:v>Home Appliances</c:v>
                </c:pt>
                <c:pt idx="5">
                  <c:v>(blank)</c:v>
                </c:pt>
              </c:strCache>
            </c:strRef>
          </c:cat>
          <c:val>
            <c:numRef>
              <c:f>'PIVOT TABLE '!$N$4:$N$10</c:f>
              <c:numCache>
                <c:formatCode>General</c:formatCode>
                <c:ptCount val="6"/>
                <c:pt idx="0">
                  <c:v>25</c:v>
                </c:pt>
                <c:pt idx="1">
                  <c:v>40</c:v>
                </c:pt>
                <c:pt idx="2">
                  <c:v>118</c:v>
                </c:pt>
                <c:pt idx="3">
                  <c:v>27</c:v>
                </c:pt>
                <c:pt idx="4">
                  <c:v>40</c:v>
                </c:pt>
              </c:numCache>
            </c:numRef>
          </c:val>
          <c:extLst>
            <c:ext xmlns:c16="http://schemas.microsoft.com/office/drawing/2014/chart" uri="{C3380CC4-5D6E-409C-BE32-E72D297353CC}">
              <c16:uniqueId val="{00000000-8559-4963-B105-62C68CC6C5E2}"/>
            </c:ext>
          </c:extLst>
        </c:ser>
        <c:dLbls>
          <c:showLegendKey val="0"/>
          <c:showVal val="0"/>
          <c:showCatName val="0"/>
          <c:showSerName val="0"/>
          <c:showPercent val="0"/>
          <c:showBubbleSize val="0"/>
        </c:dLbls>
        <c:gapWidth val="182"/>
        <c:axId val="1234013231"/>
        <c:axId val="826473071"/>
      </c:barChart>
      <c:catAx>
        <c:axId val="123401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6473071"/>
        <c:crosses val="autoZero"/>
        <c:auto val="1"/>
        <c:lblAlgn val="ctr"/>
        <c:lblOffset val="100"/>
        <c:noMultiLvlLbl val="0"/>
      </c:catAx>
      <c:valAx>
        <c:axId val="82647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401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0</xdr:colOff>
      <xdr:row>20</xdr:row>
      <xdr:rowOff>0</xdr:rowOff>
    </xdr:from>
    <xdr:to>
      <xdr:col>16</xdr:col>
      <xdr:colOff>0</xdr:colOff>
      <xdr:row>38</xdr:row>
      <xdr:rowOff>0</xdr:rowOff>
    </xdr:to>
    <xdr:graphicFrame macro="">
      <xdr:nvGraphicFramePr>
        <xdr:cNvPr id="2" name="Chart 1">
          <a:extLst>
            <a:ext uri="{FF2B5EF4-FFF2-40B4-BE49-F238E27FC236}">
              <a16:creationId xmlns:a16="http://schemas.microsoft.com/office/drawing/2014/main" id="{A68A3572-EF7C-475A-A39B-0DE21D2B1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67552</xdr:colOff>
      <xdr:row>56</xdr:row>
      <xdr:rowOff>67554</xdr:rowOff>
    </xdr:from>
    <xdr:to>
      <xdr:col>32</xdr:col>
      <xdr:colOff>184191</xdr:colOff>
      <xdr:row>71</xdr:row>
      <xdr:rowOff>116056</xdr:rowOff>
    </xdr:to>
    <xdr:graphicFrame macro="">
      <xdr:nvGraphicFramePr>
        <xdr:cNvPr id="3" name="Chart 2">
          <a:extLst>
            <a:ext uri="{FF2B5EF4-FFF2-40B4-BE49-F238E27FC236}">
              <a16:creationId xmlns:a16="http://schemas.microsoft.com/office/drawing/2014/main" id="{8D082E83-B389-4234-AC33-9F0A8B77F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38</xdr:row>
      <xdr:rowOff>157130</xdr:rowOff>
    </xdr:from>
    <xdr:to>
      <xdr:col>16</xdr:col>
      <xdr:colOff>-1</xdr:colOff>
      <xdr:row>55</xdr:row>
      <xdr:rowOff>0</xdr:rowOff>
    </xdr:to>
    <xdr:graphicFrame macro="">
      <xdr:nvGraphicFramePr>
        <xdr:cNvPr id="4" name="Chart 3">
          <a:extLst>
            <a:ext uri="{FF2B5EF4-FFF2-40B4-BE49-F238E27FC236}">
              <a16:creationId xmlns:a16="http://schemas.microsoft.com/office/drawing/2014/main" id="{F9CC01BD-636B-4C08-827C-9C52D39F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181785</xdr:colOff>
      <xdr:row>20</xdr:row>
      <xdr:rowOff>0</xdr:rowOff>
    </xdr:from>
    <xdr:to>
      <xdr:col>23</xdr:col>
      <xdr:colOff>491165</xdr:colOff>
      <xdr:row>38</xdr:row>
      <xdr:rowOff>0</xdr:rowOff>
    </xdr:to>
    <xdr:graphicFrame macro="">
      <xdr:nvGraphicFramePr>
        <xdr:cNvPr id="5" name="Chart 4">
          <a:extLst>
            <a:ext uri="{FF2B5EF4-FFF2-40B4-BE49-F238E27FC236}">
              <a16:creationId xmlns:a16="http://schemas.microsoft.com/office/drawing/2014/main" id="{966C585B-A881-45A2-A20A-744A48E61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197587</xdr:colOff>
      <xdr:row>38</xdr:row>
      <xdr:rowOff>157130</xdr:rowOff>
    </xdr:from>
    <xdr:to>
      <xdr:col>23</xdr:col>
      <xdr:colOff>496184</xdr:colOff>
      <xdr:row>55</xdr:row>
      <xdr:rowOff>0</xdr:rowOff>
    </xdr:to>
    <xdr:graphicFrame macro="">
      <xdr:nvGraphicFramePr>
        <xdr:cNvPr id="7" name="Chart 6">
          <a:extLst>
            <a:ext uri="{FF2B5EF4-FFF2-40B4-BE49-F238E27FC236}">
              <a16:creationId xmlns:a16="http://schemas.microsoft.com/office/drawing/2014/main" id="{F9F6F088-34C5-4769-B12A-992060664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67552</xdr:colOff>
      <xdr:row>38</xdr:row>
      <xdr:rowOff>157130</xdr:rowOff>
    </xdr:from>
    <xdr:to>
      <xdr:col>32</xdr:col>
      <xdr:colOff>143659</xdr:colOff>
      <xdr:row>55</xdr:row>
      <xdr:rowOff>0</xdr:rowOff>
    </xdr:to>
    <xdr:graphicFrame macro="">
      <xdr:nvGraphicFramePr>
        <xdr:cNvPr id="8" name="Chart 7">
          <a:extLst>
            <a:ext uri="{FF2B5EF4-FFF2-40B4-BE49-F238E27FC236}">
              <a16:creationId xmlns:a16="http://schemas.microsoft.com/office/drawing/2014/main" id="{E9E9F33F-5524-4F99-A7D1-692BFF14A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67552</xdr:colOff>
      <xdr:row>20</xdr:row>
      <xdr:rowOff>0</xdr:rowOff>
    </xdr:from>
    <xdr:to>
      <xdr:col>32</xdr:col>
      <xdr:colOff>143659</xdr:colOff>
      <xdr:row>38</xdr:row>
      <xdr:rowOff>0</xdr:rowOff>
    </xdr:to>
    <xdr:graphicFrame macro="">
      <xdr:nvGraphicFramePr>
        <xdr:cNvPr id="9" name="Chart 8">
          <a:extLst>
            <a:ext uri="{FF2B5EF4-FFF2-40B4-BE49-F238E27FC236}">
              <a16:creationId xmlns:a16="http://schemas.microsoft.com/office/drawing/2014/main" id="{56A96AFD-C790-4B5C-89A9-6A14590B7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72508</xdr:colOff>
      <xdr:row>56</xdr:row>
      <xdr:rowOff>67553</xdr:rowOff>
    </xdr:from>
    <xdr:to>
      <xdr:col>16</xdr:col>
      <xdr:colOff>0</xdr:colOff>
      <xdr:row>72</xdr:row>
      <xdr:rowOff>0</xdr:rowOff>
    </xdr:to>
    <xdr:graphicFrame macro="">
      <xdr:nvGraphicFramePr>
        <xdr:cNvPr id="10" name="Chart 9">
          <a:extLst>
            <a:ext uri="{FF2B5EF4-FFF2-40B4-BE49-F238E27FC236}">
              <a16:creationId xmlns:a16="http://schemas.microsoft.com/office/drawing/2014/main" id="{2FD76352-80DD-40E9-8BCA-ECE11214A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218037</xdr:colOff>
      <xdr:row>56</xdr:row>
      <xdr:rowOff>67553</xdr:rowOff>
    </xdr:from>
    <xdr:to>
      <xdr:col>23</xdr:col>
      <xdr:colOff>522837</xdr:colOff>
      <xdr:row>72</xdr:row>
      <xdr:rowOff>0</xdr:rowOff>
    </xdr:to>
    <xdr:graphicFrame macro="">
      <xdr:nvGraphicFramePr>
        <xdr:cNvPr id="11" name="Chart 10">
          <a:extLst>
            <a:ext uri="{FF2B5EF4-FFF2-40B4-BE49-F238E27FC236}">
              <a16:creationId xmlns:a16="http://schemas.microsoft.com/office/drawing/2014/main" id="{47C2A1C6-2159-4FAC-AFD5-0F2C15257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0</xdr:colOff>
      <xdr:row>32</xdr:row>
      <xdr:rowOff>0</xdr:rowOff>
    </xdr:from>
    <xdr:ext cx="184731" cy="264560"/>
    <xdr:sp macro="" textlink="">
      <xdr:nvSpPr>
        <xdr:cNvPr id="26" name="TextBox 25">
          <a:extLst>
            <a:ext uri="{FF2B5EF4-FFF2-40B4-BE49-F238E27FC236}">
              <a16:creationId xmlns:a16="http://schemas.microsoft.com/office/drawing/2014/main" id="{A94570C4-924D-BCC9-5190-848DA1A12FA1}"/>
            </a:ext>
          </a:extLst>
        </xdr:cNvPr>
        <xdr:cNvSpPr txBox="1"/>
      </xdr:nvSpPr>
      <xdr:spPr>
        <a:xfrm>
          <a:off x="3685082" y="61626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59359</xdr:colOff>
      <xdr:row>9</xdr:row>
      <xdr:rowOff>0</xdr:rowOff>
    </xdr:from>
    <xdr:to>
      <xdr:col>4</xdr:col>
      <xdr:colOff>300450</xdr:colOff>
      <xdr:row>73</xdr:row>
      <xdr:rowOff>27021</xdr:rowOff>
    </xdr:to>
    <xdr:sp macro="" textlink="">
      <xdr:nvSpPr>
        <xdr:cNvPr id="29" name="Rectangle: Rounded Corners 28">
          <a:extLst>
            <a:ext uri="{FF2B5EF4-FFF2-40B4-BE49-F238E27FC236}">
              <a16:creationId xmlns:a16="http://schemas.microsoft.com/office/drawing/2014/main" id="{7B457715-1F84-8266-A9C9-C336A54133AA}"/>
            </a:ext>
          </a:extLst>
        </xdr:cNvPr>
        <xdr:cNvSpPr/>
      </xdr:nvSpPr>
      <xdr:spPr>
        <a:xfrm>
          <a:off x="59359" y="1864468"/>
          <a:ext cx="2673006" cy="12132553"/>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xdr:colOff>
      <xdr:row>9</xdr:row>
      <xdr:rowOff>67554</xdr:rowOff>
    </xdr:from>
    <xdr:to>
      <xdr:col>32</xdr:col>
      <xdr:colOff>184191</xdr:colOff>
      <xdr:row>19</xdr:row>
      <xdr:rowOff>67554</xdr:rowOff>
    </xdr:to>
    <xdr:sp macro="" textlink="">
      <xdr:nvSpPr>
        <xdr:cNvPr id="30" name="Rectangle: Rounded Corners 29">
          <a:extLst>
            <a:ext uri="{FF2B5EF4-FFF2-40B4-BE49-F238E27FC236}">
              <a16:creationId xmlns:a16="http://schemas.microsoft.com/office/drawing/2014/main" id="{619D990B-3837-FBD5-B905-4D61D6BCF5B5}"/>
            </a:ext>
          </a:extLst>
        </xdr:cNvPr>
        <xdr:cNvSpPr/>
      </xdr:nvSpPr>
      <xdr:spPr>
        <a:xfrm>
          <a:off x="3039893" y="1932022"/>
          <a:ext cx="16599617" cy="189148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100" b="0" i="0" u="none" strike="noStrike">
            <a:solidFill>
              <a:srgbClr val="000000"/>
            </a:solidFill>
            <a:latin typeface="Calibri"/>
            <a:ea typeface="Calibri"/>
            <a:cs typeface="Calibri"/>
          </a:endParaRPr>
        </a:p>
      </xdr:txBody>
    </xdr:sp>
    <xdr:clientData/>
  </xdr:twoCellAnchor>
  <xdr:twoCellAnchor>
    <xdr:from>
      <xdr:col>6</xdr:col>
      <xdr:colOff>184731</xdr:colOff>
      <xdr:row>10</xdr:row>
      <xdr:rowOff>105659</xdr:rowOff>
    </xdr:from>
    <xdr:to>
      <xdr:col>11</xdr:col>
      <xdr:colOff>0</xdr:colOff>
      <xdr:row>18</xdr:row>
      <xdr:rowOff>0</xdr:rowOff>
    </xdr:to>
    <xdr:sp macro="" textlink="">
      <xdr:nvSpPr>
        <xdr:cNvPr id="31" name="TextBox 30">
          <a:extLst>
            <a:ext uri="{FF2B5EF4-FFF2-40B4-BE49-F238E27FC236}">
              <a16:creationId xmlns:a16="http://schemas.microsoft.com/office/drawing/2014/main" id="{01DA80AC-3377-99B8-3AD1-84426D974848}"/>
            </a:ext>
          </a:extLst>
        </xdr:cNvPr>
        <xdr:cNvSpPr txBox="1"/>
      </xdr:nvSpPr>
      <xdr:spPr>
        <a:xfrm>
          <a:off x="3832603" y="2159276"/>
          <a:ext cx="2855163" cy="140753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 </a:t>
          </a:r>
        </a:p>
      </xdr:txBody>
    </xdr:sp>
    <xdr:clientData/>
  </xdr:twoCellAnchor>
  <xdr:twoCellAnchor>
    <xdr:from>
      <xdr:col>12</xdr:col>
      <xdr:colOff>58253</xdr:colOff>
      <xdr:row>10</xdr:row>
      <xdr:rowOff>109192</xdr:rowOff>
    </xdr:from>
    <xdr:to>
      <xdr:col>18</xdr:col>
      <xdr:colOff>104100</xdr:colOff>
      <xdr:row>18</xdr:row>
      <xdr:rowOff>0</xdr:rowOff>
    </xdr:to>
    <xdr:sp macro="" textlink="T26">
      <xdr:nvSpPr>
        <xdr:cNvPr id="32" name="TextBox 31">
          <a:extLst>
            <a:ext uri="{FF2B5EF4-FFF2-40B4-BE49-F238E27FC236}">
              <a16:creationId xmlns:a16="http://schemas.microsoft.com/office/drawing/2014/main" id="{0D5F3A6D-41B2-425D-B49A-8D1F17839248}"/>
            </a:ext>
          </a:extLst>
        </xdr:cNvPr>
        <xdr:cNvSpPr txBox="1"/>
      </xdr:nvSpPr>
      <xdr:spPr>
        <a:xfrm>
          <a:off x="7353998" y="2162809"/>
          <a:ext cx="3693719" cy="140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E75D7B2D-A099-44E9-9A20-EE6164428076}" type="TxLink">
            <a:rPr lang="en-US" sz="1100" b="0" i="0" u="none" strike="noStrike">
              <a:solidFill>
                <a:srgbClr val="000000"/>
              </a:solidFill>
              <a:latin typeface="Calibri"/>
              <a:ea typeface="Calibri"/>
              <a:cs typeface="Calibri"/>
            </a:rPr>
            <a:t> </a:t>
          </a:fld>
          <a:endParaRPr lang="en-IN" sz="1100"/>
        </a:p>
      </xdr:txBody>
    </xdr:sp>
    <xdr:clientData/>
  </xdr:twoCellAnchor>
  <xdr:twoCellAnchor>
    <xdr:from>
      <xdr:col>25</xdr:col>
      <xdr:colOff>213651</xdr:colOff>
      <xdr:row>10</xdr:row>
      <xdr:rowOff>94574</xdr:rowOff>
    </xdr:from>
    <xdr:to>
      <xdr:col>30</xdr:col>
      <xdr:colOff>413757</xdr:colOff>
      <xdr:row>17</xdr:row>
      <xdr:rowOff>178063</xdr:rowOff>
    </xdr:to>
    <xdr:sp macro="" textlink="T26">
      <xdr:nvSpPr>
        <xdr:cNvPr id="33" name="TextBox 32">
          <a:extLst>
            <a:ext uri="{FF2B5EF4-FFF2-40B4-BE49-F238E27FC236}">
              <a16:creationId xmlns:a16="http://schemas.microsoft.com/office/drawing/2014/main" id="{B4137430-1D36-4DCC-93D0-BE8839A7A8E0}"/>
            </a:ext>
          </a:extLst>
        </xdr:cNvPr>
        <xdr:cNvSpPr txBox="1"/>
      </xdr:nvSpPr>
      <xdr:spPr>
        <a:xfrm>
          <a:off x="15413119" y="2148191"/>
          <a:ext cx="3240000" cy="140753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E75D7B2D-A099-44E9-9A20-EE6164428076}" type="TxLink">
            <a:rPr lang="en-US" sz="1100" b="0" i="0" u="none" strike="noStrike">
              <a:solidFill>
                <a:srgbClr val="000000"/>
              </a:solidFill>
              <a:latin typeface="Calibri"/>
              <a:ea typeface="Calibri"/>
              <a:cs typeface="Calibri"/>
            </a:rPr>
            <a:t> </a:t>
          </a:fld>
          <a:endParaRPr lang="en-IN" sz="1100"/>
        </a:p>
      </xdr:txBody>
    </xdr:sp>
    <xdr:clientData/>
  </xdr:twoCellAnchor>
  <xdr:twoCellAnchor>
    <xdr:from>
      <xdr:col>18</xdr:col>
      <xdr:colOff>522110</xdr:colOff>
      <xdr:row>10</xdr:row>
      <xdr:rowOff>94574</xdr:rowOff>
    </xdr:from>
    <xdr:to>
      <xdr:col>24</xdr:col>
      <xdr:colOff>334675</xdr:colOff>
      <xdr:row>17</xdr:row>
      <xdr:rowOff>178063</xdr:rowOff>
    </xdr:to>
    <xdr:sp macro="" textlink="T26">
      <xdr:nvSpPr>
        <xdr:cNvPr id="34" name="TextBox 33">
          <a:extLst>
            <a:ext uri="{FF2B5EF4-FFF2-40B4-BE49-F238E27FC236}">
              <a16:creationId xmlns:a16="http://schemas.microsoft.com/office/drawing/2014/main" id="{4A53204F-FC53-4E1C-BFD0-233411BB6F80}"/>
            </a:ext>
          </a:extLst>
        </xdr:cNvPr>
        <xdr:cNvSpPr txBox="1"/>
      </xdr:nvSpPr>
      <xdr:spPr>
        <a:xfrm>
          <a:off x="11465727" y="2148191"/>
          <a:ext cx="3460437" cy="140753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E75D7B2D-A099-44E9-9A20-EE6164428076}" type="TxLink">
            <a:rPr lang="en-US" sz="1100" b="0" i="0" u="none" strike="noStrike">
              <a:solidFill>
                <a:srgbClr val="000000"/>
              </a:solidFill>
              <a:latin typeface="Calibri"/>
              <a:ea typeface="Calibri"/>
              <a:cs typeface="Calibri"/>
            </a:rPr>
            <a:t> </a:t>
          </a:fld>
          <a:endParaRPr lang="en-IN" sz="1100"/>
        </a:p>
      </xdr:txBody>
    </xdr:sp>
    <xdr:clientData/>
  </xdr:twoCellAnchor>
  <xdr:twoCellAnchor>
    <xdr:from>
      <xdr:col>10</xdr:col>
      <xdr:colOff>508986</xdr:colOff>
      <xdr:row>0</xdr:row>
      <xdr:rowOff>229680</xdr:rowOff>
    </xdr:from>
    <xdr:to>
      <xdr:col>28</xdr:col>
      <xdr:colOff>0</xdr:colOff>
      <xdr:row>6</xdr:row>
      <xdr:rowOff>182798</xdr:rowOff>
    </xdr:to>
    <xdr:sp macro="" textlink="">
      <xdr:nvSpPr>
        <xdr:cNvPr id="35" name="Rectangle: Rounded Corners 34">
          <a:extLst>
            <a:ext uri="{FF2B5EF4-FFF2-40B4-BE49-F238E27FC236}">
              <a16:creationId xmlns:a16="http://schemas.microsoft.com/office/drawing/2014/main" id="{6B76B1BF-50FC-ED0F-A323-A0DD5A2DCE3D}"/>
            </a:ext>
          </a:extLst>
        </xdr:cNvPr>
        <xdr:cNvSpPr/>
      </xdr:nvSpPr>
      <xdr:spPr>
        <a:xfrm>
          <a:off x="6588773" y="229680"/>
          <a:ext cx="10434631" cy="12501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i="0" u="none" strike="noStrike">
              <a:solidFill>
                <a:schemeClr val="bg2">
                  <a:lumMod val="10000"/>
                </a:schemeClr>
              </a:solidFill>
              <a:effectLst/>
              <a:latin typeface="+mn-lt"/>
              <a:ea typeface="+mn-ea"/>
              <a:cs typeface="+mn-cs"/>
            </a:rPr>
            <a:t>           </a:t>
          </a:r>
          <a:r>
            <a:rPr lang="en-IN" sz="4400" b="1" i="0" u="none" strike="noStrike">
              <a:solidFill>
                <a:schemeClr val="bg1"/>
              </a:solidFill>
              <a:effectLst/>
              <a:latin typeface="+mn-lt"/>
              <a:ea typeface="+mn-ea"/>
              <a:cs typeface="+mn-cs"/>
            </a:rPr>
            <a:t>Amazon Sales Performance Dashboard</a:t>
          </a:r>
          <a:endParaRPr lang="en-IN" sz="4400">
            <a:solidFill>
              <a:schemeClr val="bg1"/>
            </a:solidFill>
          </a:endParaRPr>
        </a:p>
      </xdr:txBody>
    </xdr:sp>
    <xdr:clientData/>
  </xdr:twoCellAnchor>
  <xdr:twoCellAnchor editAs="oneCell">
    <xdr:from>
      <xdr:col>11</xdr:col>
      <xdr:colOff>0</xdr:colOff>
      <xdr:row>1</xdr:row>
      <xdr:rowOff>112408</xdr:rowOff>
    </xdr:from>
    <xdr:to>
      <xdr:col>12</xdr:col>
      <xdr:colOff>437212</xdr:colOff>
      <xdr:row>6</xdr:row>
      <xdr:rowOff>0</xdr:rowOff>
    </xdr:to>
    <xdr:pic>
      <xdr:nvPicPr>
        <xdr:cNvPr id="37" name="Graphic 36" descr="Presentation with bar chart with solid fill">
          <a:extLst>
            <a:ext uri="{FF2B5EF4-FFF2-40B4-BE49-F238E27FC236}">
              <a16:creationId xmlns:a16="http://schemas.microsoft.com/office/drawing/2014/main" id="{B480D8AD-B0CC-104D-F38F-5DA899AB2AA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87766" y="382621"/>
          <a:ext cx="1045191" cy="914400"/>
        </a:xfrm>
        <a:prstGeom prst="rect">
          <a:avLst/>
        </a:prstGeom>
      </xdr:spPr>
    </xdr:pic>
    <xdr:clientData/>
  </xdr:twoCellAnchor>
  <xdr:twoCellAnchor editAs="oneCell">
    <xdr:from>
      <xdr:col>6</xdr:col>
      <xdr:colOff>184731</xdr:colOff>
      <xdr:row>14</xdr:row>
      <xdr:rowOff>57639</xdr:rowOff>
    </xdr:from>
    <xdr:to>
      <xdr:col>7</xdr:col>
      <xdr:colOff>491152</xdr:colOff>
      <xdr:row>17</xdr:row>
      <xdr:rowOff>61235</xdr:rowOff>
    </xdr:to>
    <xdr:pic>
      <xdr:nvPicPr>
        <xdr:cNvPr id="39" name="Graphic 38" descr="Dollar with solid fill">
          <a:extLst>
            <a:ext uri="{FF2B5EF4-FFF2-40B4-BE49-F238E27FC236}">
              <a16:creationId xmlns:a16="http://schemas.microsoft.com/office/drawing/2014/main" id="{6302C90A-6271-DD11-940C-AF9CC210E9A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32603" y="2867852"/>
          <a:ext cx="914400" cy="571043"/>
        </a:xfrm>
        <a:prstGeom prst="rect">
          <a:avLst/>
        </a:prstGeom>
      </xdr:spPr>
    </xdr:pic>
    <xdr:clientData/>
  </xdr:twoCellAnchor>
  <xdr:twoCellAnchor>
    <xdr:from>
      <xdr:col>7</xdr:col>
      <xdr:colOff>184961</xdr:colOff>
      <xdr:row>11</xdr:row>
      <xdr:rowOff>41634</xdr:rowOff>
    </xdr:from>
    <xdr:to>
      <xdr:col>10</xdr:col>
      <xdr:colOff>144429</xdr:colOff>
      <xdr:row>14</xdr:row>
      <xdr:rowOff>6509</xdr:rowOff>
    </xdr:to>
    <xdr:sp macro="" textlink="">
      <xdr:nvSpPr>
        <xdr:cNvPr id="40" name="Rectangle: Rounded Corners 39">
          <a:extLst>
            <a:ext uri="{FF2B5EF4-FFF2-40B4-BE49-F238E27FC236}">
              <a16:creationId xmlns:a16="http://schemas.microsoft.com/office/drawing/2014/main" id="{D5726C64-783A-BBA4-16BA-CEC126284A74}"/>
            </a:ext>
          </a:extLst>
        </xdr:cNvPr>
        <xdr:cNvSpPr/>
      </xdr:nvSpPr>
      <xdr:spPr>
        <a:xfrm>
          <a:off x="4440812" y="2284400"/>
          <a:ext cx="1783404" cy="532322"/>
        </a:xfrm>
        <a:prstGeom prst="roundRect">
          <a:avLst>
            <a:gd name="adj" fmla="val 16667"/>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rPr>
            <a:t>     Total sales</a:t>
          </a:r>
        </a:p>
      </xdr:txBody>
    </xdr:sp>
    <xdr:clientData/>
  </xdr:twoCellAnchor>
  <xdr:twoCellAnchor>
    <xdr:from>
      <xdr:col>13</xdr:col>
      <xdr:colOff>169801</xdr:colOff>
      <xdr:row>11</xdr:row>
      <xdr:rowOff>55145</xdr:rowOff>
    </xdr:from>
    <xdr:to>
      <xdr:col>17</xdr:col>
      <xdr:colOff>268794</xdr:colOff>
      <xdr:row>14</xdr:row>
      <xdr:rowOff>26369</xdr:rowOff>
    </xdr:to>
    <xdr:sp macro="" textlink="">
      <xdr:nvSpPr>
        <xdr:cNvPr id="41" name="Rectangle: Rounded Corners 40">
          <a:extLst>
            <a:ext uri="{FF2B5EF4-FFF2-40B4-BE49-F238E27FC236}">
              <a16:creationId xmlns:a16="http://schemas.microsoft.com/office/drawing/2014/main" id="{3285AB5E-B832-48A1-A062-1DC14806A941}"/>
            </a:ext>
          </a:extLst>
        </xdr:cNvPr>
        <xdr:cNvSpPr/>
      </xdr:nvSpPr>
      <xdr:spPr>
        <a:xfrm>
          <a:off x="8073524" y="2297911"/>
          <a:ext cx="2530908" cy="538671"/>
        </a:xfrm>
        <a:prstGeom prst="roundRect">
          <a:avLst>
            <a:gd name="adj" fmla="val 16667"/>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rPr>
            <a:t>      Count</a:t>
          </a:r>
          <a:r>
            <a:rPr lang="en-IN" sz="1800" baseline="0">
              <a:solidFill>
                <a:schemeClr val="bg1"/>
              </a:solidFill>
            </a:rPr>
            <a:t> of</a:t>
          </a:r>
          <a:r>
            <a:rPr lang="en-IN" sz="1800">
              <a:solidFill>
                <a:schemeClr val="bg1"/>
              </a:solidFill>
            </a:rPr>
            <a:t> Order</a:t>
          </a:r>
          <a:r>
            <a:rPr lang="en-IN" sz="1800" baseline="0">
              <a:solidFill>
                <a:schemeClr val="bg1"/>
              </a:solidFill>
            </a:rPr>
            <a:t> Id</a:t>
          </a:r>
          <a:endParaRPr lang="en-IN" sz="1800">
            <a:solidFill>
              <a:schemeClr val="bg1"/>
            </a:solidFill>
          </a:endParaRPr>
        </a:p>
      </xdr:txBody>
    </xdr:sp>
    <xdr:clientData/>
  </xdr:twoCellAnchor>
  <xdr:twoCellAnchor>
    <xdr:from>
      <xdr:col>20</xdr:col>
      <xdr:colOff>1</xdr:colOff>
      <xdr:row>11</xdr:row>
      <xdr:rowOff>21695</xdr:rowOff>
    </xdr:from>
    <xdr:to>
      <xdr:col>23</xdr:col>
      <xdr:colOff>387732</xdr:colOff>
      <xdr:row>14</xdr:row>
      <xdr:rowOff>0</xdr:rowOff>
    </xdr:to>
    <xdr:sp macro="" textlink="">
      <xdr:nvSpPr>
        <xdr:cNvPr id="42" name="Rectangle: Rounded Corners 41">
          <a:extLst>
            <a:ext uri="{FF2B5EF4-FFF2-40B4-BE49-F238E27FC236}">
              <a16:creationId xmlns:a16="http://schemas.microsoft.com/office/drawing/2014/main" id="{B13331AE-F84C-4ADA-A3E2-C2BF254C97D3}"/>
            </a:ext>
          </a:extLst>
        </xdr:cNvPr>
        <xdr:cNvSpPr/>
      </xdr:nvSpPr>
      <xdr:spPr>
        <a:xfrm>
          <a:off x="12159575" y="2264461"/>
          <a:ext cx="2211668" cy="545752"/>
        </a:xfrm>
        <a:prstGeom prst="roundRect">
          <a:avLst>
            <a:gd name="adj" fmla="val 16667"/>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rPr>
            <a:t>     Count of</a:t>
          </a:r>
          <a:r>
            <a:rPr lang="en-IN" sz="1800" baseline="0">
              <a:solidFill>
                <a:schemeClr val="bg1"/>
              </a:solidFill>
            </a:rPr>
            <a:t> Quantity</a:t>
          </a:r>
          <a:endParaRPr lang="en-IN" sz="1800">
            <a:solidFill>
              <a:schemeClr val="bg1"/>
            </a:solidFill>
          </a:endParaRPr>
        </a:p>
      </xdr:txBody>
    </xdr:sp>
    <xdr:clientData/>
  </xdr:twoCellAnchor>
  <xdr:twoCellAnchor>
    <xdr:from>
      <xdr:col>26</xdr:col>
      <xdr:colOff>1</xdr:colOff>
      <xdr:row>11</xdr:row>
      <xdr:rowOff>41634</xdr:rowOff>
    </xdr:from>
    <xdr:to>
      <xdr:col>30</xdr:col>
      <xdr:colOff>0</xdr:colOff>
      <xdr:row>13</xdr:row>
      <xdr:rowOff>182065</xdr:rowOff>
    </xdr:to>
    <xdr:sp macro="" textlink="">
      <xdr:nvSpPr>
        <xdr:cNvPr id="43" name="Rectangle: Rounded Corners 42">
          <a:extLst>
            <a:ext uri="{FF2B5EF4-FFF2-40B4-BE49-F238E27FC236}">
              <a16:creationId xmlns:a16="http://schemas.microsoft.com/office/drawing/2014/main" id="{C0997F76-39D9-4A58-9D76-C16F87DF052E}"/>
            </a:ext>
          </a:extLst>
        </xdr:cNvPr>
        <xdr:cNvSpPr/>
      </xdr:nvSpPr>
      <xdr:spPr>
        <a:xfrm>
          <a:off x="15807448" y="2284400"/>
          <a:ext cx="2431914" cy="518729"/>
        </a:xfrm>
        <a:prstGeom prst="roundRect">
          <a:avLst>
            <a:gd name="adj" fmla="val 16667"/>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rPr>
            <a:t>    </a:t>
          </a:r>
          <a:r>
            <a:rPr lang="en-IN" sz="1600">
              <a:solidFill>
                <a:schemeClr val="bg1"/>
              </a:solidFill>
            </a:rPr>
            <a:t>Average</a:t>
          </a:r>
          <a:r>
            <a:rPr lang="en-IN" sz="1600" baseline="0">
              <a:solidFill>
                <a:schemeClr val="bg1"/>
              </a:solidFill>
            </a:rPr>
            <a:t> of</a:t>
          </a:r>
          <a:r>
            <a:rPr lang="en-IN" sz="1600">
              <a:solidFill>
                <a:schemeClr val="bg1"/>
              </a:solidFill>
            </a:rPr>
            <a:t> Total </a:t>
          </a:r>
          <a:r>
            <a:rPr lang="en-IN" sz="1800">
              <a:solidFill>
                <a:schemeClr val="bg1"/>
              </a:solidFill>
            </a:rPr>
            <a:t>sales</a:t>
          </a:r>
        </a:p>
      </xdr:txBody>
    </xdr:sp>
    <xdr:clientData/>
  </xdr:twoCellAnchor>
  <xdr:twoCellAnchor editAs="oneCell">
    <xdr:from>
      <xdr:col>18</xdr:col>
      <xdr:colOff>522110</xdr:colOff>
      <xdr:row>13</xdr:row>
      <xdr:rowOff>132727</xdr:rowOff>
    </xdr:from>
    <xdr:to>
      <xdr:col>20</xdr:col>
      <xdr:colOff>139756</xdr:colOff>
      <xdr:row>17</xdr:row>
      <xdr:rowOff>152213</xdr:rowOff>
    </xdr:to>
    <xdr:pic>
      <xdr:nvPicPr>
        <xdr:cNvPr id="49" name="Graphic 48" descr="Document with solid fill">
          <a:extLst>
            <a:ext uri="{FF2B5EF4-FFF2-40B4-BE49-F238E27FC236}">
              <a16:creationId xmlns:a16="http://schemas.microsoft.com/office/drawing/2014/main" id="{200D4356-6C30-9362-A5DC-4B2DF74150E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465727" y="2753791"/>
          <a:ext cx="833603" cy="776082"/>
        </a:xfrm>
        <a:prstGeom prst="rect">
          <a:avLst/>
        </a:prstGeom>
      </xdr:spPr>
    </xdr:pic>
    <xdr:clientData/>
  </xdr:twoCellAnchor>
  <xdr:twoCellAnchor editAs="oneCell">
    <xdr:from>
      <xdr:col>12</xdr:col>
      <xdr:colOff>63135</xdr:colOff>
      <xdr:row>13</xdr:row>
      <xdr:rowOff>173213</xdr:rowOff>
    </xdr:from>
    <xdr:to>
      <xdr:col>13</xdr:col>
      <xdr:colOff>369557</xdr:colOff>
      <xdr:row>18</xdr:row>
      <xdr:rowOff>13511</xdr:rowOff>
    </xdr:to>
    <xdr:pic>
      <xdr:nvPicPr>
        <xdr:cNvPr id="51" name="Graphic 50" descr="Shopping cart with solid fill">
          <a:extLst>
            <a:ext uri="{FF2B5EF4-FFF2-40B4-BE49-F238E27FC236}">
              <a16:creationId xmlns:a16="http://schemas.microsoft.com/office/drawing/2014/main" id="{AAB49D7B-51A9-A25C-F540-B6A3E10840D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358880" y="2794277"/>
          <a:ext cx="914400" cy="786043"/>
        </a:xfrm>
        <a:prstGeom prst="rect">
          <a:avLst/>
        </a:prstGeom>
      </xdr:spPr>
    </xdr:pic>
    <xdr:clientData/>
  </xdr:twoCellAnchor>
  <xdr:twoCellAnchor editAs="oneCell">
    <xdr:from>
      <xdr:col>25</xdr:col>
      <xdr:colOff>139430</xdr:colOff>
      <xdr:row>14</xdr:row>
      <xdr:rowOff>81064</xdr:rowOff>
    </xdr:from>
    <xdr:to>
      <xdr:col>26</xdr:col>
      <xdr:colOff>445851</xdr:colOff>
      <xdr:row>17</xdr:row>
      <xdr:rowOff>84660</xdr:rowOff>
    </xdr:to>
    <xdr:pic>
      <xdr:nvPicPr>
        <xdr:cNvPr id="52" name="Graphic 51" descr="Dollar with solid fill">
          <a:extLst>
            <a:ext uri="{FF2B5EF4-FFF2-40B4-BE49-F238E27FC236}">
              <a16:creationId xmlns:a16="http://schemas.microsoft.com/office/drawing/2014/main" id="{9EC290A1-7587-49B8-B83E-3AC5FBB17FF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338898" y="2891277"/>
          <a:ext cx="914400" cy="571043"/>
        </a:xfrm>
        <a:prstGeom prst="rect">
          <a:avLst/>
        </a:prstGeom>
      </xdr:spPr>
    </xdr:pic>
    <xdr:clientData/>
  </xdr:twoCellAnchor>
  <xdr:twoCellAnchor>
    <xdr:from>
      <xdr:col>7</xdr:col>
      <xdr:colOff>390606</xdr:colOff>
      <xdr:row>14</xdr:row>
      <xdr:rowOff>135106</xdr:rowOff>
    </xdr:from>
    <xdr:to>
      <xdr:col>10</xdr:col>
      <xdr:colOff>306327</xdr:colOff>
      <xdr:row>17</xdr:row>
      <xdr:rowOff>44128</xdr:rowOff>
    </xdr:to>
    <xdr:sp macro="" textlink="'PIVOT TABLE '!S34">
      <xdr:nvSpPr>
        <xdr:cNvPr id="55" name="Rectangle 54">
          <a:extLst>
            <a:ext uri="{FF2B5EF4-FFF2-40B4-BE49-F238E27FC236}">
              <a16:creationId xmlns:a16="http://schemas.microsoft.com/office/drawing/2014/main" id="{2F5FDC62-5965-19C2-E64C-5D7110CF400C}"/>
            </a:ext>
          </a:extLst>
        </xdr:cNvPr>
        <xdr:cNvSpPr/>
      </xdr:nvSpPr>
      <xdr:spPr>
        <a:xfrm>
          <a:off x="4646457" y="2945319"/>
          <a:ext cx="1739657" cy="47646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92D050"/>
              </a:solidFill>
              <a:latin typeface="Calibri"/>
              <a:ea typeface="Calibri"/>
              <a:cs typeface="Calibri"/>
            </a:rPr>
            <a:t>      </a:t>
          </a:r>
          <a:fld id="{6A47B292-AD5A-421C-93A6-2ADE277C5A4D}" type="TxLink">
            <a:rPr lang="en-US" sz="2400" b="1" i="0" u="none" strike="noStrike">
              <a:solidFill>
                <a:srgbClr val="92D050"/>
              </a:solidFill>
              <a:latin typeface="Calibri"/>
              <a:ea typeface="Calibri"/>
              <a:cs typeface="Calibri"/>
            </a:rPr>
            <a:t>243845</a:t>
          </a:fld>
          <a:endParaRPr lang="en-IN" sz="2400" b="1">
            <a:solidFill>
              <a:srgbClr val="92D050"/>
            </a:solidFill>
          </a:endParaRPr>
        </a:p>
      </xdr:txBody>
    </xdr:sp>
    <xdr:clientData/>
  </xdr:twoCellAnchor>
  <xdr:twoCellAnchor>
    <xdr:from>
      <xdr:col>26</xdr:col>
      <xdr:colOff>520546</xdr:colOff>
      <xdr:row>14</xdr:row>
      <xdr:rowOff>98171</xdr:rowOff>
    </xdr:from>
    <xdr:to>
      <xdr:col>29</xdr:col>
      <xdr:colOff>436267</xdr:colOff>
      <xdr:row>17</xdr:row>
      <xdr:rowOff>98171</xdr:rowOff>
    </xdr:to>
    <xdr:sp macro="" textlink="'PIVOT TABLE '!T34">
      <xdr:nvSpPr>
        <xdr:cNvPr id="56" name="Rectangle 55">
          <a:extLst>
            <a:ext uri="{FF2B5EF4-FFF2-40B4-BE49-F238E27FC236}">
              <a16:creationId xmlns:a16="http://schemas.microsoft.com/office/drawing/2014/main" id="{D9B33849-5579-4EBD-B40E-9E65BC6F5CA2}"/>
            </a:ext>
          </a:extLst>
        </xdr:cNvPr>
        <xdr:cNvSpPr/>
      </xdr:nvSpPr>
      <xdr:spPr>
        <a:xfrm>
          <a:off x="16327993" y="2908384"/>
          <a:ext cx="1739657" cy="56744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92D050"/>
              </a:solidFill>
              <a:latin typeface="Calibri"/>
              <a:ea typeface="Calibri"/>
              <a:cs typeface="Calibri"/>
            </a:rPr>
            <a:t>    </a:t>
          </a:r>
          <a:fld id="{5B2E0AD6-6DC9-46F5-8EB1-6AD13B025401}" type="TxLink">
            <a:rPr lang="en-US" sz="2400" b="1" i="0" u="none" strike="noStrike">
              <a:solidFill>
                <a:srgbClr val="92D050"/>
              </a:solidFill>
              <a:latin typeface="Calibri"/>
              <a:ea typeface="Calibri"/>
              <a:cs typeface="Calibri"/>
            </a:rPr>
            <a:t>975.38</a:t>
          </a:fld>
          <a:endParaRPr lang="en-IN" sz="2400" b="1">
            <a:solidFill>
              <a:srgbClr val="92D050"/>
            </a:solidFill>
          </a:endParaRPr>
        </a:p>
      </xdr:txBody>
    </xdr:sp>
    <xdr:clientData/>
  </xdr:twoCellAnchor>
  <xdr:twoCellAnchor>
    <xdr:from>
      <xdr:col>13</xdr:col>
      <xdr:colOff>424578</xdr:colOff>
      <xdr:row>14</xdr:row>
      <xdr:rowOff>158531</xdr:rowOff>
    </xdr:from>
    <xdr:to>
      <xdr:col>16</xdr:col>
      <xdr:colOff>340298</xdr:colOff>
      <xdr:row>17</xdr:row>
      <xdr:rowOff>40532</xdr:rowOff>
    </xdr:to>
    <xdr:sp macro="" textlink="'PIVOT TABLE '!U34">
      <xdr:nvSpPr>
        <xdr:cNvPr id="57" name="Rectangle 56">
          <a:extLst>
            <a:ext uri="{FF2B5EF4-FFF2-40B4-BE49-F238E27FC236}">
              <a16:creationId xmlns:a16="http://schemas.microsoft.com/office/drawing/2014/main" id="{F01C7DE8-FEB9-4756-BD8E-1E474E34C3BA}"/>
            </a:ext>
          </a:extLst>
        </xdr:cNvPr>
        <xdr:cNvSpPr/>
      </xdr:nvSpPr>
      <xdr:spPr>
        <a:xfrm>
          <a:off x="8328301" y="2968744"/>
          <a:ext cx="1739657" cy="44944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92D050"/>
              </a:solidFill>
              <a:latin typeface="Calibri"/>
              <a:ea typeface="Calibri"/>
              <a:cs typeface="Calibri"/>
            </a:rPr>
            <a:t>        </a:t>
          </a:r>
          <a:r>
            <a:rPr lang="en-US" sz="2400" b="1" i="0" u="none" strike="noStrike" baseline="0">
              <a:solidFill>
                <a:srgbClr val="92D050"/>
              </a:solidFill>
              <a:latin typeface="Calibri"/>
              <a:ea typeface="Calibri"/>
              <a:cs typeface="Calibri"/>
            </a:rPr>
            <a:t> </a:t>
          </a:r>
          <a:fld id="{2CA148AB-9861-40A5-BDE1-05B389443037}" type="TxLink">
            <a:rPr lang="en-US" sz="2400" b="1" i="0" u="none" strike="noStrike">
              <a:solidFill>
                <a:srgbClr val="92D050"/>
              </a:solidFill>
              <a:latin typeface="Calibri"/>
              <a:ea typeface="Calibri"/>
              <a:cs typeface="Calibri"/>
            </a:rPr>
            <a:t>250</a:t>
          </a:fld>
          <a:endParaRPr lang="en-IN" sz="2400" b="1">
            <a:solidFill>
              <a:srgbClr val="92D050"/>
            </a:solidFill>
          </a:endParaRPr>
        </a:p>
      </xdr:txBody>
    </xdr:sp>
    <xdr:clientData/>
  </xdr:twoCellAnchor>
  <xdr:twoCellAnchor>
    <xdr:from>
      <xdr:col>20</xdr:col>
      <xdr:colOff>8664</xdr:colOff>
      <xdr:row>14</xdr:row>
      <xdr:rowOff>84661</xdr:rowOff>
    </xdr:from>
    <xdr:to>
      <xdr:col>23</xdr:col>
      <xdr:colOff>428263</xdr:colOff>
      <xdr:row>17</xdr:row>
      <xdr:rowOff>84660</xdr:rowOff>
    </xdr:to>
    <xdr:sp macro="" textlink="'PIVOT TABLE '!V34">
      <xdr:nvSpPr>
        <xdr:cNvPr id="58" name="Rectangle 57">
          <a:extLst>
            <a:ext uri="{FF2B5EF4-FFF2-40B4-BE49-F238E27FC236}">
              <a16:creationId xmlns:a16="http://schemas.microsoft.com/office/drawing/2014/main" id="{9A3767E4-C107-482E-B7FC-C855311220AF}"/>
            </a:ext>
          </a:extLst>
        </xdr:cNvPr>
        <xdr:cNvSpPr/>
      </xdr:nvSpPr>
      <xdr:spPr>
        <a:xfrm>
          <a:off x="12168238" y="2894874"/>
          <a:ext cx="2243536" cy="56744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92D050"/>
              </a:solidFill>
              <a:latin typeface="Calibri"/>
              <a:ea typeface="Calibri"/>
              <a:cs typeface="Calibri"/>
            </a:rPr>
            <a:t>           </a:t>
          </a:r>
          <a:fld id="{AEC85F1F-93DD-4164-A3AB-39F4FE9ACB92}" type="TxLink">
            <a:rPr lang="en-US" sz="2400" b="1" i="0" u="none" strike="noStrike">
              <a:solidFill>
                <a:srgbClr val="92D050"/>
              </a:solidFill>
              <a:latin typeface="Calibri"/>
              <a:ea typeface="Calibri"/>
              <a:cs typeface="Calibri"/>
            </a:rPr>
            <a:t>250</a:t>
          </a:fld>
          <a:endParaRPr lang="en-IN" sz="2400" b="1">
            <a:solidFill>
              <a:srgbClr val="92D050"/>
            </a:solidFill>
          </a:endParaRPr>
        </a:p>
      </xdr:txBody>
    </xdr:sp>
    <xdr:clientData/>
  </xdr:twoCellAnchor>
  <xdr:twoCellAnchor editAs="oneCell">
    <xdr:from>
      <xdr:col>0</xdr:col>
      <xdr:colOff>319358</xdr:colOff>
      <xdr:row>58</xdr:row>
      <xdr:rowOff>13510</xdr:rowOff>
    </xdr:from>
    <xdr:to>
      <xdr:col>4</xdr:col>
      <xdr:colOff>61650</xdr:colOff>
      <xdr:row>71</xdr:row>
      <xdr:rowOff>13510</xdr:rowOff>
    </xdr:to>
    <mc:AlternateContent xmlns:mc="http://schemas.openxmlformats.org/markup-compatibility/2006">
      <mc:Choice xmlns:a14="http://schemas.microsoft.com/office/drawing/2010/main" Requires="a14">
        <xdr:graphicFrame macro="">
          <xdr:nvGraphicFramePr>
            <xdr:cNvPr id="59" name="Month">
              <a:extLst>
                <a:ext uri="{FF2B5EF4-FFF2-40B4-BE49-F238E27FC236}">
                  <a16:creationId xmlns:a16="http://schemas.microsoft.com/office/drawing/2014/main" id="{F9E3F71E-3334-4FB1-85F5-5EE2281F11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19358" y="11328055"/>
              <a:ext cx="2205322" cy="2501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436690</xdr:colOff>
      <xdr:row>46</xdr:row>
      <xdr:rowOff>123960</xdr:rowOff>
    </xdr:from>
    <xdr:to>
      <xdr:col>4</xdr:col>
      <xdr:colOff>156225</xdr:colOff>
      <xdr:row>57</xdr:row>
      <xdr:rowOff>0</xdr:rowOff>
    </xdr:to>
    <mc:AlternateContent xmlns:mc="http://schemas.openxmlformats.org/markup-compatibility/2006">
      <mc:Choice xmlns:a14="http://schemas.microsoft.com/office/drawing/2010/main" Requires="a14">
        <xdr:graphicFrame macro="">
          <xdr:nvGraphicFramePr>
            <xdr:cNvPr id="60" name="Status">
              <a:extLst>
                <a:ext uri="{FF2B5EF4-FFF2-40B4-BE49-F238E27FC236}">
                  <a16:creationId xmlns:a16="http://schemas.microsoft.com/office/drawing/2014/main" id="{CFE5FF34-73DA-43A2-90EB-C91FC0D864D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436690" y="9129415"/>
              <a:ext cx="2182565" cy="1992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436690</xdr:colOff>
      <xdr:row>10</xdr:row>
      <xdr:rowOff>42915</xdr:rowOff>
    </xdr:from>
    <xdr:to>
      <xdr:col>4</xdr:col>
      <xdr:colOff>156225</xdr:colOff>
      <xdr:row>30</xdr:row>
      <xdr:rowOff>75936</xdr:rowOff>
    </xdr:to>
    <mc:AlternateContent xmlns:mc="http://schemas.openxmlformats.org/markup-compatibility/2006">
      <mc:Choice xmlns:a14="http://schemas.microsoft.com/office/drawing/2010/main" Requires="a14">
        <xdr:graphicFrame macro="">
          <xdr:nvGraphicFramePr>
            <xdr:cNvPr id="61" name="Customer Location">
              <a:extLst>
                <a:ext uri="{FF2B5EF4-FFF2-40B4-BE49-F238E27FC236}">
                  <a16:creationId xmlns:a16="http://schemas.microsoft.com/office/drawing/2014/main" id="{35635286-60EE-48D2-8169-26A0510F92A4}"/>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436690" y="2121097"/>
              <a:ext cx="2182565" cy="388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436690</xdr:colOff>
      <xdr:row>31</xdr:row>
      <xdr:rowOff>110449</xdr:rowOff>
    </xdr:from>
    <xdr:to>
      <xdr:col>4</xdr:col>
      <xdr:colOff>178982</xdr:colOff>
      <xdr:row>46</xdr:row>
      <xdr:rowOff>0</xdr:rowOff>
    </xdr:to>
    <mc:AlternateContent xmlns:mc="http://schemas.openxmlformats.org/markup-compatibility/2006">
      <mc:Choice xmlns:a14="http://schemas.microsoft.com/office/drawing/2010/main" Requires="a14">
        <xdr:graphicFrame macro="">
          <xdr:nvGraphicFramePr>
            <xdr:cNvPr id="62" name="Category">
              <a:extLst>
                <a:ext uri="{FF2B5EF4-FFF2-40B4-BE49-F238E27FC236}">
                  <a16:creationId xmlns:a16="http://schemas.microsoft.com/office/drawing/2014/main" id="{FD7C0B4E-9639-4CDC-9246-8A466E6A34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36690" y="6229540"/>
              <a:ext cx="2205322" cy="2775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u" refreshedDate="46270.581159027781" createdVersion="8" refreshedVersion="8" minRefreshableVersion="3" recordCount="251" xr:uid="{FFD3B983-CD0D-4A8D-96A3-A7FA6D59338E}">
  <cacheSource type="worksheet">
    <worksheetSource ref="A1:O1048576" sheet="amazon_sales_data 2025"/>
  </cacheSource>
  <cacheFields count="15">
    <cacheField name="Order ID" numFmtId="0">
      <sharedItems containsBlank="1" count="25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m/>
      </sharedItems>
    </cacheField>
    <cacheField name="Date" numFmtId="14">
      <sharedItems containsNonDate="0" containsDate="1" containsString="0" containsBlank="1" minDate="2025-02-02T00:00:00" maxDate="2025-04-03T00:00:00"/>
    </cacheField>
    <cacheField name="Product" numFmtId="0">
      <sharedItems containsBlank="1" count="11">
        <s v="Running Shoes"/>
        <s v="Headphones"/>
        <s v="Smartwatch"/>
        <s v="T-Shirt"/>
        <s v="Smartphone"/>
        <s v="Book"/>
        <s v="Jeans"/>
        <s v="Laptop"/>
        <s v="Washing Machine"/>
        <s v="Refrigerator"/>
        <m/>
      </sharedItems>
    </cacheField>
    <cacheField name="Category" numFmtId="0">
      <sharedItems containsBlank="1" count="6">
        <s v="Footwear"/>
        <s v="Electronics"/>
        <s v="Clothing"/>
        <s v="Books"/>
        <s v="Home Appliances"/>
        <m/>
      </sharedItems>
    </cacheField>
    <cacheField name="Price" numFmtId="2">
      <sharedItems containsString="0" containsBlank="1" containsNumber="1" containsInteger="1" minValue="15" maxValue="1200"/>
    </cacheField>
    <cacheField name="Quantity" numFmtId="2">
      <sharedItems containsString="0" containsBlank="1" containsNumber="1" containsInteger="1" minValue="1" maxValue="5"/>
    </cacheField>
    <cacheField name="Total Sales" numFmtId="2">
      <sharedItems containsString="0" containsBlank="1" containsNumber="1" containsInteger="1" minValue="15" maxValue="6000"/>
    </cacheField>
    <cacheField name="Customer Name" numFmtId="0">
      <sharedItems containsBlank="1" count="11">
        <s v="Emma Clark"/>
        <s v="Emily Johnson"/>
        <s v="John Doe"/>
        <s v="Olivia Wilson"/>
        <s v="Sophia Miller"/>
        <s v="David Lee"/>
        <s v="Michael Brown"/>
        <s v="Daniel Harris"/>
        <s v="Chris White"/>
        <s v="Jane Smith"/>
        <m/>
      </sharedItems>
    </cacheField>
    <cacheField name="Customer Location" numFmtId="0">
      <sharedItems containsBlank="1" count="11">
        <s v="New York"/>
        <s v="San Francisco"/>
        <s v="Denver"/>
        <s v="Dallas"/>
        <s v="Houston"/>
        <s v="Miami"/>
        <s v="Boston"/>
        <s v="Seattle"/>
        <s v="Los Angeles"/>
        <s v="Chicago"/>
        <m/>
      </sharedItems>
    </cacheField>
    <cacheField name="Payment Method" numFmtId="0">
      <sharedItems containsBlank="1" count="6">
        <s v="Debit Card"/>
        <s v="Amazon Pay"/>
        <s v="Credit Card"/>
        <s v="PayPal"/>
        <s v="Gift Card"/>
        <m/>
      </sharedItems>
    </cacheField>
    <cacheField name="Status" numFmtId="0">
      <sharedItems containsBlank="1" count="4">
        <s v="Cancelled"/>
        <s v="Pending"/>
        <s v="Completed"/>
        <m/>
      </sharedItems>
    </cacheField>
    <cacheField name="Month" numFmtId="0">
      <sharedItems containsString="0" containsBlank="1" containsNumber="1" containsInteger="1" minValue="2" maxValue="4" count="4">
        <n v="3"/>
        <n v="2"/>
        <n v="4"/>
        <m/>
      </sharedItems>
    </cacheField>
    <cacheField name="Year" numFmtId="0">
      <sharedItems containsString="0" containsBlank="1" containsNumber="1" containsInteger="1" minValue="2025" maxValue="2025"/>
    </cacheField>
    <cacheField name="Month-Year" numFmtId="0">
      <sharedItems containsBlank="1" count="4">
        <s v="2025-03"/>
        <s v="2025-02"/>
        <s v="2025-04"/>
        <m/>
      </sharedItems>
    </cacheField>
    <cacheField name="ORDER FLAG STATUS" numFmtId="0">
      <sharedItems containsBlank="1"/>
    </cacheField>
  </cacheFields>
  <extLst>
    <ext xmlns:x14="http://schemas.microsoft.com/office/spreadsheetml/2009/9/main" uri="{725AE2AE-9491-48be-B2B4-4EB974FC3084}">
      <x14:pivotCacheDefinition pivotCacheId="16985615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u" refreshedDate="46270.582369560187" createdVersion="8" refreshedVersion="8" minRefreshableVersion="3" recordCount="250" xr:uid="{B223BB7E-A959-4C10-BF9A-269AE0BBDBA5}">
  <cacheSource type="worksheet">
    <worksheetSource ref="A1:O251" sheet="amazon_sales_data 2025"/>
  </cacheSource>
  <cacheFields count="15">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acheField>
    <cacheField name="Price" numFmtId="2">
      <sharedItems containsSemiMixedTypes="0" containsString="0" containsNumber="1" containsInteger="1" minValue="15" maxValue="1200"/>
    </cacheField>
    <cacheField name="Quantity" numFmtId="2">
      <sharedItems containsSemiMixedTypes="0" containsString="0" containsNumber="1" containsInteger="1" minValue="1" maxValue="5"/>
    </cacheField>
    <cacheField name="Total Sales" numFmtId="2">
      <sharedItems containsSemiMixedTypes="0" containsString="0" containsNumber="1" containsInteger="1" minValue="15" maxValue="6000"/>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acheField>
    <cacheField name="Status" numFmtId="0">
      <sharedItems/>
    </cacheField>
    <cacheField name="Month" numFmtId="0">
      <sharedItems containsSemiMixedTypes="0" containsString="0" containsNumber="1" containsInteger="1" minValue="2" maxValue="4"/>
    </cacheField>
    <cacheField name="Year" numFmtId="0">
      <sharedItems containsSemiMixedTypes="0" containsString="0" containsNumber="1" containsInteger="1" minValue="2025" maxValue="2025"/>
    </cacheField>
    <cacheField name="Month-Year" numFmtId="0">
      <sharedItems/>
    </cacheField>
    <cacheField name="ORDER FLAG 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u" refreshedDate="46270.624866666665" createdVersion="8" refreshedVersion="8" minRefreshableVersion="3" recordCount="250" xr:uid="{E260CF6D-D18E-4C67-B0B2-F6CA4B495925}">
  <cacheSource type="worksheet">
    <worksheetSource ref="A1:P251" sheet="amazon_sales_data 2025"/>
  </cacheSource>
  <cacheFields count="16">
    <cacheField name="Order ID" numFmtId="0">
      <sharedItems/>
    </cacheField>
    <cacheField name="Date" numFmtId="14">
      <sharedItems containsSemiMixedTypes="0" containsNonDate="0" containsDate="1" containsString="0" minDate="2025-02-02T00:00:00" maxDate="2025-04-03T00:00:00"/>
    </cacheField>
    <cacheField name="Product" numFmtId="0">
      <sharedItems/>
    </cacheField>
    <cacheField name="Category" numFmtId="0">
      <sharedItems/>
    </cacheField>
    <cacheField name="Price" numFmtId="2">
      <sharedItems containsSemiMixedTypes="0" containsString="0" containsNumber="1" containsInteger="1" minValue="15" maxValue="1200"/>
    </cacheField>
    <cacheField name="Quantity" numFmtId="2">
      <sharedItems containsSemiMixedTypes="0" containsString="0" containsNumber="1" containsInteger="1" minValue="1" maxValue="5"/>
    </cacheField>
    <cacheField name="Total Sales" numFmtId="2">
      <sharedItems containsSemiMixedTypes="0" containsString="0" containsNumber="1" containsInteger="1" minValue="15" maxValue="6000" count="36">
        <n v="180"/>
        <n v="400"/>
        <n v="120"/>
        <n v="450"/>
        <n v="20"/>
        <n v="600"/>
        <n v="500"/>
        <n v="60"/>
        <n v="30"/>
        <n v="160"/>
        <n v="1600"/>
        <n v="1800"/>
        <n v="1200"/>
        <n v="1000"/>
        <n v="300"/>
        <n v="4800"/>
        <n v="15"/>
        <n v="3600"/>
        <n v="75"/>
        <n v="100"/>
        <n v="2000"/>
        <n v="2400"/>
        <n v="150"/>
        <n v="80"/>
        <n v="40"/>
        <n v="240"/>
        <n v="4000"/>
        <n v="2500"/>
        <n v="45"/>
        <n v="750"/>
        <n v="200"/>
        <n v="1500"/>
        <n v="3200"/>
        <n v="6000"/>
        <n v="3000"/>
        <n v="800"/>
      </sharedItems>
    </cacheField>
    <cacheField name="Customer Name" numFmtId="0">
      <sharedItems/>
    </cacheField>
    <cacheField name="Customer Location" numFmtId="0">
      <sharedItems/>
    </cacheField>
    <cacheField name="Payment Method" numFmtId="0">
      <sharedItems/>
    </cacheField>
    <cacheField name="Status" numFmtId="0">
      <sharedItems/>
    </cacheField>
    <cacheField name="Month" numFmtId="0">
      <sharedItems containsSemiMixedTypes="0" containsString="0" containsNumber="1" containsInteger="1" minValue="2" maxValue="4"/>
    </cacheField>
    <cacheField name="Year" numFmtId="0">
      <sharedItems containsSemiMixedTypes="0" containsString="0" containsNumber="1" containsInteger="1" minValue="2025" maxValue="2025"/>
    </cacheField>
    <cacheField name="Month-Year" numFmtId="0">
      <sharedItems/>
    </cacheField>
    <cacheField name="ORDER FLAG STATUS" numFmtId="0">
      <sharedItems/>
    </cacheField>
    <cacheField name="TOTAL COUNT" numFmtId="0">
      <sharedItems containsString="0" containsBlank="1" containsNumber="1" containsInteger="1" minValue="250" maxValue="250" count="2">
        <n v="250"/>
        <m/>
      </sharedItems>
    </cacheField>
  </cacheFields>
  <extLst>
    <ext xmlns:x14="http://schemas.microsoft.com/office/spreadsheetml/2009/9/main" uri="{725AE2AE-9491-48be-B2B4-4EB974FC3084}">
      <x14:pivotCacheDefinition pivotCacheId="1989679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d v="2025-03-14T00:00:00"/>
    <x v="0"/>
    <x v="0"/>
    <n v="60"/>
    <n v="3"/>
    <n v="180"/>
    <x v="0"/>
    <x v="0"/>
    <x v="0"/>
    <x v="0"/>
    <x v="0"/>
    <n v="2025"/>
    <x v="0"/>
    <s v="Cancelled"/>
  </r>
  <r>
    <x v="1"/>
    <d v="2025-03-20T00:00:00"/>
    <x v="1"/>
    <x v="1"/>
    <n v="100"/>
    <n v="4"/>
    <n v="400"/>
    <x v="1"/>
    <x v="1"/>
    <x v="0"/>
    <x v="1"/>
    <x v="0"/>
    <n v="2025"/>
    <x v="0"/>
    <s v="Pending"/>
  </r>
  <r>
    <x v="2"/>
    <d v="2025-02-15T00:00:00"/>
    <x v="0"/>
    <x v="0"/>
    <n v="60"/>
    <n v="2"/>
    <n v="120"/>
    <x v="2"/>
    <x v="2"/>
    <x v="1"/>
    <x v="0"/>
    <x v="1"/>
    <n v="2025"/>
    <x v="1"/>
    <s v="Cancelled"/>
  </r>
  <r>
    <x v="3"/>
    <d v="2025-02-19T00:00:00"/>
    <x v="0"/>
    <x v="0"/>
    <n v="60"/>
    <n v="3"/>
    <n v="180"/>
    <x v="3"/>
    <x v="3"/>
    <x v="2"/>
    <x v="1"/>
    <x v="1"/>
    <n v="2025"/>
    <x v="1"/>
    <s v="Pending"/>
  </r>
  <r>
    <x v="4"/>
    <d v="2025-03-10T00:00:00"/>
    <x v="2"/>
    <x v="1"/>
    <n v="150"/>
    <n v="3"/>
    <n v="450"/>
    <x v="0"/>
    <x v="0"/>
    <x v="0"/>
    <x v="1"/>
    <x v="0"/>
    <n v="2025"/>
    <x v="0"/>
    <s v="Pending"/>
  </r>
  <r>
    <x v="5"/>
    <d v="2025-03-14T00:00:00"/>
    <x v="3"/>
    <x v="2"/>
    <n v="20"/>
    <n v="1"/>
    <n v="20"/>
    <x v="2"/>
    <x v="3"/>
    <x v="2"/>
    <x v="1"/>
    <x v="0"/>
    <n v="2025"/>
    <x v="0"/>
    <s v="Pending"/>
  </r>
  <r>
    <x v="6"/>
    <d v="2025-03-18T00:00:00"/>
    <x v="2"/>
    <x v="1"/>
    <n v="150"/>
    <n v="4"/>
    <n v="600"/>
    <x v="0"/>
    <x v="4"/>
    <x v="3"/>
    <x v="2"/>
    <x v="0"/>
    <n v="2025"/>
    <x v="0"/>
    <s v="Completed"/>
  </r>
  <r>
    <x v="7"/>
    <d v="2025-03-02T00:00:00"/>
    <x v="4"/>
    <x v="1"/>
    <n v="500"/>
    <n v="1"/>
    <n v="500"/>
    <x v="4"/>
    <x v="5"/>
    <x v="3"/>
    <x v="2"/>
    <x v="0"/>
    <n v="2025"/>
    <x v="0"/>
    <s v="Completed"/>
  </r>
  <r>
    <x v="8"/>
    <d v="2025-03-08T00:00:00"/>
    <x v="3"/>
    <x v="2"/>
    <n v="20"/>
    <n v="3"/>
    <n v="60"/>
    <x v="4"/>
    <x v="6"/>
    <x v="3"/>
    <x v="2"/>
    <x v="0"/>
    <n v="2025"/>
    <x v="0"/>
    <s v="Completed"/>
  </r>
  <r>
    <x v="9"/>
    <d v="2025-03-12T00:00:00"/>
    <x v="4"/>
    <x v="1"/>
    <n v="500"/>
    <n v="1"/>
    <n v="500"/>
    <x v="1"/>
    <x v="1"/>
    <x v="2"/>
    <x v="0"/>
    <x v="0"/>
    <n v="2025"/>
    <x v="0"/>
    <s v="Cancelled"/>
  </r>
  <r>
    <x v="10"/>
    <d v="2025-02-17T00:00:00"/>
    <x v="5"/>
    <x v="3"/>
    <n v="15"/>
    <n v="2"/>
    <n v="30"/>
    <x v="5"/>
    <x v="6"/>
    <x v="1"/>
    <x v="1"/>
    <x v="1"/>
    <n v="2025"/>
    <x v="1"/>
    <s v="Pending"/>
  </r>
  <r>
    <x v="11"/>
    <d v="2025-03-13T00:00:00"/>
    <x v="6"/>
    <x v="2"/>
    <n v="40"/>
    <n v="4"/>
    <n v="160"/>
    <x v="6"/>
    <x v="3"/>
    <x v="2"/>
    <x v="2"/>
    <x v="0"/>
    <n v="2025"/>
    <x v="0"/>
    <s v="Completed"/>
  </r>
  <r>
    <x v="12"/>
    <d v="2025-03-01T00:00:00"/>
    <x v="7"/>
    <x v="1"/>
    <n v="800"/>
    <n v="2"/>
    <n v="1600"/>
    <x v="7"/>
    <x v="1"/>
    <x v="4"/>
    <x v="1"/>
    <x v="0"/>
    <n v="2025"/>
    <x v="0"/>
    <s v="Pending"/>
  </r>
  <r>
    <x v="13"/>
    <d v="2025-03-04T00:00:00"/>
    <x v="8"/>
    <x v="4"/>
    <n v="600"/>
    <n v="3"/>
    <n v="1800"/>
    <x v="6"/>
    <x v="5"/>
    <x v="2"/>
    <x v="0"/>
    <x v="0"/>
    <n v="2025"/>
    <x v="0"/>
    <s v="Cancelled"/>
  </r>
  <r>
    <x v="14"/>
    <d v="2025-02-20T00:00:00"/>
    <x v="2"/>
    <x v="1"/>
    <n v="150"/>
    <n v="4"/>
    <n v="600"/>
    <x v="2"/>
    <x v="7"/>
    <x v="2"/>
    <x v="2"/>
    <x v="1"/>
    <n v="2025"/>
    <x v="1"/>
    <s v="Completed"/>
  </r>
  <r>
    <x v="15"/>
    <d v="2025-02-26T00:00:00"/>
    <x v="9"/>
    <x v="4"/>
    <n v="1200"/>
    <n v="1"/>
    <n v="1200"/>
    <x v="2"/>
    <x v="6"/>
    <x v="2"/>
    <x v="0"/>
    <x v="1"/>
    <n v="2025"/>
    <x v="1"/>
    <s v="Cancelled"/>
  </r>
  <r>
    <x v="16"/>
    <d v="2025-04-01T00:00:00"/>
    <x v="3"/>
    <x v="2"/>
    <n v="20"/>
    <n v="1"/>
    <n v="20"/>
    <x v="0"/>
    <x v="0"/>
    <x v="1"/>
    <x v="2"/>
    <x v="2"/>
    <n v="2025"/>
    <x v="2"/>
    <s v="Completed"/>
  </r>
  <r>
    <x v="17"/>
    <d v="2025-02-10T00:00:00"/>
    <x v="4"/>
    <x v="1"/>
    <n v="500"/>
    <n v="2"/>
    <n v="1000"/>
    <x v="6"/>
    <x v="8"/>
    <x v="1"/>
    <x v="2"/>
    <x v="1"/>
    <n v="2025"/>
    <x v="1"/>
    <s v="Completed"/>
  </r>
  <r>
    <x v="18"/>
    <d v="2025-03-22T00:00:00"/>
    <x v="0"/>
    <x v="0"/>
    <n v="60"/>
    <n v="3"/>
    <n v="180"/>
    <x v="3"/>
    <x v="4"/>
    <x v="2"/>
    <x v="2"/>
    <x v="0"/>
    <n v="2025"/>
    <x v="0"/>
    <s v="Completed"/>
  </r>
  <r>
    <x v="19"/>
    <d v="2025-03-07T00:00:00"/>
    <x v="1"/>
    <x v="1"/>
    <n v="100"/>
    <n v="4"/>
    <n v="400"/>
    <x v="3"/>
    <x v="7"/>
    <x v="0"/>
    <x v="1"/>
    <x v="0"/>
    <n v="2025"/>
    <x v="0"/>
    <s v="Pending"/>
  </r>
  <r>
    <x v="20"/>
    <d v="2025-02-05T00:00:00"/>
    <x v="1"/>
    <x v="1"/>
    <n v="100"/>
    <n v="3"/>
    <n v="300"/>
    <x v="8"/>
    <x v="5"/>
    <x v="0"/>
    <x v="0"/>
    <x v="1"/>
    <n v="2025"/>
    <x v="1"/>
    <s v="Cancelled"/>
  </r>
  <r>
    <x v="21"/>
    <d v="2025-03-07T00:00:00"/>
    <x v="9"/>
    <x v="4"/>
    <n v="1200"/>
    <n v="4"/>
    <n v="4800"/>
    <x v="3"/>
    <x v="4"/>
    <x v="2"/>
    <x v="1"/>
    <x v="0"/>
    <n v="2025"/>
    <x v="0"/>
    <s v="Pending"/>
  </r>
  <r>
    <x v="22"/>
    <d v="2025-02-23T00:00:00"/>
    <x v="5"/>
    <x v="3"/>
    <n v="15"/>
    <n v="1"/>
    <n v="15"/>
    <x v="0"/>
    <x v="4"/>
    <x v="2"/>
    <x v="1"/>
    <x v="1"/>
    <n v="2025"/>
    <x v="1"/>
    <s v="Pending"/>
  </r>
  <r>
    <x v="23"/>
    <d v="2025-03-24T00:00:00"/>
    <x v="9"/>
    <x v="4"/>
    <n v="1200"/>
    <n v="3"/>
    <n v="3600"/>
    <x v="8"/>
    <x v="3"/>
    <x v="2"/>
    <x v="0"/>
    <x v="0"/>
    <n v="2025"/>
    <x v="0"/>
    <s v="Cancelled"/>
  </r>
  <r>
    <x v="24"/>
    <d v="2025-03-02T00:00:00"/>
    <x v="5"/>
    <x v="3"/>
    <n v="15"/>
    <n v="5"/>
    <n v="75"/>
    <x v="4"/>
    <x v="7"/>
    <x v="1"/>
    <x v="2"/>
    <x v="0"/>
    <n v="2025"/>
    <x v="0"/>
    <s v="Completed"/>
  </r>
  <r>
    <x v="25"/>
    <d v="2025-02-14T00:00:00"/>
    <x v="8"/>
    <x v="4"/>
    <n v="600"/>
    <n v="1"/>
    <n v="600"/>
    <x v="3"/>
    <x v="6"/>
    <x v="0"/>
    <x v="0"/>
    <x v="1"/>
    <n v="2025"/>
    <x v="1"/>
    <s v="Cancelled"/>
  </r>
  <r>
    <x v="26"/>
    <d v="2025-02-07T00:00:00"/>
    <x v="3"/>
    <x v="2"/>
    <n v="20"/>
    <n v="1"/>
    <n v="20"/>
    <x v="7"/>
    <x v="0"/>
    <x v="1"/>
    <x v="1"/>
    <x v="1"/>
    <n v="2025"/>
    <x v="1"/>
    <s v="Pending"/>
  </r>
  <r>
    <x v="27"/>
    <d v="2025-02-03T00:00:00"/>
    <x v="1"/>
    <x v="1"/>
    <n v="100"/>
    <n v="1"/>
    <n v="100"/>
    <x v="9"/>
    <x v="9"/>
    <x v="1"/>
    <x v="2"/>
    <x v="1"/>
    <n v="2025"/>
    <x v="1"/>
    <s v="Completed"/>
  </r>
  <r>
    <x v="28"/>
    <d v="2025-02-12T00:00:00"/>
    <x v="4"/>
    <x v="1"/>
    <n v="500"/>
    <n v="1"/>
    <n v="500"/>
    <x v="4"/>
    <x v="2"/>
    <x v="2"/>
    <x v="0"/>
    <x v="1"/>
    <n v="2025"/>
    <x v="1"/>
    <s v="Cancelled"/>
  </r>
  <r>
    <x v="29"/>
    <d v="2025-02-10T00:00:00"/>
    <x v="8"/>
    <x v="4"/>
    <n v="600"/>
    <n v="3"/>
    <n v="1800"/>
    <x v="1"/>
    <x v="3"/>
    <x v="4"/>
    <x v="0"/>
    <x v="1"/>
    <n v="2025"/>
    <x v="1"/>
    <s v="Cancelled"/>
  </r>
  <r>
    <x v="30"/>
    <d v="2025-03-24T00:00:00"/>
    <x v="4"/>
    <x v="1"/>
    <n v="500"/>
    <n v="1"/>
    <n v="500"/>
    <x v="2"/>
    <x v="4"/>
    <x v="4"/>
    <x v="1"/>
    <x v="0"/>
    <n v="2025"/>
    <x v="0"/>
    <s v="Pending"/>
  </r>
  <r>
    <x v="31"/>
    <d v="2025-03-10T00:00:00"/>
    <x v="4"/>
    <x v="1"/>
    <n v="500"/>
    <n v="4"/>
    <n v="2000"/>
    <x v="6"/>
    <x v="7"/>
    <x v="3"/>
    <x v="1"/>
    <x v="0"/>
    <n v="2025"/>
    <x v="0"/>
    <s v="Pending"/>
  </r>
  <r>
    <x v="32"/>
    <d v="2025-02-04T00:00:00"/>
    <x v="5"/>
    <x v="3"/>
    <n v="15"/>
    <n v="1"/>
    <n v="15"/>
    <x v="3"/>
    <x v="0"/>
    <x v="0"/>
    <x v="0"/>
    <x v="1"/>
    <n v="2025"/>
    <x v="1"/>
    <s v="Cancelled"/>
  </r>
  <r>
    <x v="33"/>
    <d v="2025-04-02T00:00:00"/>
    <x v="3"/>
    <x v="2"/>
    <n v="20"/>
    <n v="5"/>
    <n v="100"/>
    <x v="9"/>
    <x v="0"/>
    <x v="2"/>
    <x v="1"/>
    <x v="2"/>
    <n v="2025"/>
    <x v="2"/>
    <s v="Pending"/>
  </r>
  <r>
    <x v="34"/>
    <d v="2025-04-02T00:00:00"/>
    <x v="7"/>
    <x v="1"/>
    <n v="800"/>
    <n v="3"/>
    <n v="2400"/>
    <x v="0"/>
    <x v="2"/>
    <x v="1"/>
    <x v="2"/>
    <x v="2"/>
    <n v="2025"/>
    <x v="2"/>
    <s v="Completed"/>
  </r>
  <r>
    <x v="35"/>
    <d v="2025-02-09T00:00:00"/>
    <x v="9"/>
    <x v="4"/>
    <n v="1200"/>
    <n v="2"/>
    <n v="2400"/>
    <x v="4"/>
    <x v="6"/>
    <x v="3"/>
    <x v="0"/>
    <x v="1"/>
    <n v="2025"/>
    <x v="1"/>
    <s v="Cancelled"/>
  </r>
  <r>
    <x v="36"/>
    <d v="2025-02-16T00:00:00"/>
    <x v="1"/>
    <x v="1"/>
    <n v="100"/>
    <n v="3"/>
    <n v="300"/>
    <x v="6"/>
    <x v="0"/>
    <x v="0"/>
    <x v="0"/>
    <x v="1"/>
    <n v="2025"/>
    <x v="1"/>
    <s v="Cancelled"/>
  </r>
  <r>
    <x v="37"/>
    <d v="2025-03-26T00:00:00"/>
    <x v="7"/>
    <x v="1"/>
    <n v="800"/>
    <n v="3"/>
    <n v="2400"/>
    <x v="3"/>
    <x v="9"/>
    <x v="1"/>
    <x v="2"/>
    <x v="0"/>
    <n v="2025"/>
    <x v="0"/>
    <s v="Completed"/>
  </r>
  <r>
    <x v="38"/>
    <d v="2025-03-02T00:00:00"/>
    <x v="7"/>
    <x v="1"/>
    <n v="800"/>
    <n v="2"/>
    <n v="1600"/>
    <x v="3"/>
    <x v="1"/>
    <x v="3"/>
    <x v="2"/>
    <x v="0"/>
    <n v="2025"/>
    <x v="0"/>
    <s v="Completed"/>
  </r>
  <r>
    <x v="39"/>
    <d v="2025-03-26T00:00:00"/>
    <x v="2"/>
    <x v="1"/>
    <n v="150"/>
    <n v="1"/>
    <n v="150"/>
    <x v="1"/>
    <x v="7"/>
    <x v="4"/>
    <x v="1"/>
    <x v="0"/>
    <n v="2025"/>
    <x v="0"/>
    <s v="Pending"/>
  </r>
  <r>
    <x v="40"/>
    <d v="2025-02-20T00:00:00"/>
    <x v="5"/>
    <x v="3"/>
    <n v="15"/>
    <n v="1"/>
    <n v="15"/>
    <x v="9"/>
    <x v="5"/>
    <x v="2"/>
    <x v="0"/>
    <x v="1"/>
    <n v="2025"/>
    <x v="1"/>
    <s v="Cancelled"/>
  </r>
  <r>
    <x v="41"/>
    <d v="2025-03-17T00:00:00"/>
    <x v="1"/>
    <x v="1"/>
    <n v="100"/>
    <n v="3"/>
    <n v="300"/>
    <x v="9"/>
    <x v="9"/>
    <x v="1"/>
    <x v="0"/>
    <x v="0"/>
    <n v="2025"/>
    <x v="0"/>
    <s v="Cancelled"/>
  </r>
  <r>
    <x v="42"/>
    <d v="2025-02-08T00:00:00"/>
    <x v="3"/>
    <x v="2"/>
    <n v="20"/>
    <n v="4"/>
    <n v="80"/>
    <x v="9"/>
    <x v="2"/>
    <x v="2"/>
    <x v="1"/>
    <x v="1"/>
    <n v="2025"/>
    <x v="1"/>
    <s v="Pending"/>
  </r>
  <r>
    <x v="43"/>
    <d v="2025-03-24T00:00:00"/>
    <x v="2"/>
    <x v="1"/>
    <n v="150"/>
    <n v="1"/>
    <n v="150"/>
    <x v="8"/>
    <x v="4"/>
    <x v="0"/>
    <x v="1"/>
    <x v="0"/>
    <n v="2025"/>
    <x v="0"/>
    <s v="Pending"/>
  </r>
  <r>
    <x v="44"/>
    <d v="2025-03-15T00:00:00"/>
    <x v="9"/>
    <x v="4"/>
    <n v="1200"/>
    <n v="3"/>
    <n v="3600"/>
    <x v="7"/>
    <x v="0"/>
    <x v="2"/>
    <x v="1"/>
    <x v="0"/>
    <n v="2025"/>
    <x v="0"/>
    <s v="Pending"/>
  </r>
  <r>
    <x v="45"/>
    <d v="2025-03-06T00:00:00"/>
    <x v="0"/>
    <x v="0"/>
    <n v="60"/>
    <n v="2"/>
    <n v="120"/>
    <x v="5"/>
    <x v="4"/>
    <x v="0"/>
    <x v="0"/>
    <x v="0"/>
    <n v="2025"/>
    <x v="0"/>
    <s v="Cancelled"/>
  </r>
  <r>
    <x v="46"/>
    <d v="2025-03-26T00:00:00"/>
    <x v="3"/>
    <x v="2"/>
    <n v="20"/>
    <n v="2"/>
    <n v="40"/>
    <x v="8"/>
    <x v="5"/>
    <x v="4"/>
    <x v="0"/>
    <x v="0"/>
    <n v="2025"/>
    <x v="0"/>
    <s v="Cancelled"/>
  </r>
  <r>
    <x v="47"/>
    <d v="2025-02-11T00:00:00"/>
    <x v="3"/>
    <x v="2"/>
    <n v="20"/>
    <n v="5"/>
    <n v="100"/>
    <x v="9"/>
    <x v="2"/>
    <x v="1"/>
    <x v="2"/>
    <x v="1"/>
    <n v="2025"/>
    <x v="1"/>
    <s v="Completed"/>
  </r>
  <r>
    <x v="48"/>
    <d v="2025-02-18T00:00:00"/>
    <x v="4"/>
    <x v="1"/>
    <n v="500"/>
    <n v="4"/>
    <n v="2000"/>
    <x v="0"/>
    <x v="9"/>
    <x v="0"/>
    <x v="2"/>
    <x v="1"/>
    <n v="2025"/>
    <x v="1"/>
    <s v="Completed"/>
  </r>
  <r>
    <x v="49"/>
    <d v="2025-03-14T00:00:00"/>
    <x v="6"/>
    <x v="2"/>
    <n v="40"/>
    <n v="3"/>
    <n v="120"/>
    <x v="2"/>
    <x v="6"/>
    <x v="4"/>
    <x v="2"/>
    <x v="0"/>
    <n v="2025"/>
    <x v="0"/>
    <s v="Completed"/>
  </r>
  <r>
    <x v="50"/>
    <d v="2025-02-19T00:00:00"/>
    <x v="5"/>
    <x v="3"/>
    <n v="15"/>
    <n v="1"/>
    <n v="15"/>
    <x v="0"/>
    <x v="4"/>
    <x v="4"/>
    <x v="0"/>
    <x v="1"/>
    <n v="2025"/>
    <x v="1"/>
    <s v="Cancelled"/>
  </r>
  <r>
    <x v="51"/>
    <d v="2025-02-24T00:00:00"/>
    <x v="7"/>
    <x v="1"/>
    <n v="800"/>
    <n v="3"/>
    <n v="2400"/>
    <x v="2"/>
    <x v="1"/>
    <x v="2"/>
    <x v="1"/>
    <x v="1"/>
    <n v="2025"/>
    <x v="1"/>
    <s v="Pending"/>
  </r>
  <r>
    <x v="52"/>
    <d v="2025-03-24T00:00:00"/>
    <x v="0"/>
    <x v="0"/>
    <n v="60"/>
    <n v="4"/>
    <n v="240"/>
    <x v="1"/>
    <x v="8"/>
    <x v="3"/>
    <x v="2"/>
    <x v="0"/>
    <n v="2025"/>
    <x v="0"/>
    <s v="Completed"/>
  </r>
  <r>
    <x v="53"/>
    <d v="2025-03-15T00:00:00"/>
    <x v="2"/>
    <x v="1"/>
    <n v="150"/>
    <n v="3"/>
    <n v="450"/>
    <x v="5"/>
    <x v="6"/>
    <x v="4"/>
    <x v="1"/>
    <x v="0"/>
    <n v="2025"/>
    <x v="0"/>
    <s v="Pending"/>
  </r>
  <r>
    <x v="54"/>
    <d v="2025-03-15T00:00:00"/>
    <x v="6"/>
    <x v="2"/>
    <n v="40"/>
    <n v="2"/>
    <n v="80"/>
    <x v="4"/>
    <x v="3"/>
    <x v="3"/>
    <x v="2"/>
    <x v="0"/>
    <n v="2025"/>
    <x v="0"/>
    <s v="Completed"/>
  </r>
  <r>
    <x v="55"/>
    <d v="2025-03-19T00:00:00"/>
    <x v="2"/>
    <x v="1"/>
    <n v="150"/>
    <n v="2"/>
    <n v="300"/>
    <x v="0"/>
    <x v="3"/>
    <x v="2"/>
    <x v="2"/>
    <x v="0"/>
    <n v="2025"/>
    <x v="0"/>
    <s v="Completed"/>
  </r>
  <r>
    <x v="56"/>
    <d v="2025-03-15T00:00:00"/>
    <x v="4"/>
    <x v="1"/>
    <n v="500"/>
    <n v="1"/>
    <n v="500"/>
    <x v="9"/>
    <x v="8"/>
    <x v="0"/>
    <x v="0"/>
    <x v="0"/>
    <n v="2025"/>
    <x v="0"/>
    <s v="Cancelled"/>
  </r>
  <r>
    <x v="57"/>
    <d v="2025-03-13T00:00:00"/>
    <x v="4"/>
    <x v="1"/>
    <n v="500"/>
    <n v="1"/>
    <n v="500"/>
    <x v="9"/>
    <x v="9"/>
    <x v="3"/>
    <x v="0"/>
    <x v="0"/>
    <n v="2025"/>
    <x v="0"/>
    <s v="Cancelled"/>
  </r>
  <r>
    <x v="58"/>
    <d v="2025-04-01T00:00:00"/>
    <x v="2"/>
    <x v="1"/>
    <n v="150"/>
    <n v="2"/>
    <n v="300"/>
    <x v="7"/>
    <x v="3"/>
    <x v="2"/>
    <x v="0"/>
    <x v="2"/>
    <n v="2025"/>
    <x v="2"/>
    <s v="Cancelled"/>
  </r>
  <r>
    <x v="59"/>
    <d v="2025-03-12T00:00:00"/>
    <x v="5"/>
    <x v="3"/>
    <n v="15"/>
    <n v="5"/>
    <n v="75"/>
    <x v="9"/>
    <x v="3"/>
    <x v="2"/>
    <x v="1"/>
    <x v="0"/>
    <n v="2025"/>
    <x v="0"/>
    <s v="Pending"/>
  </r>
  <r>
    <x v="60"/>
    <d v="2025-03-11T00:00:00"/>
    <x v="9"/>
    <x v="4"/>
    <n v="1200"/>
    <n v="1"/>
    <n v="1200"/>
    <x v="9"/>
    <x v="0"/>
    <x v="3"/>
    <x v="0"/>
    <x v="0"/>
    <n v="2025"/>
    <x v="0"/>
    <s v="Cancelled"/>
  </r>
  <r>
    <x v="61"/>
    <d v="2025-02-10T00:00:00"/>
    <x v="7"/>
    <x v="1"/>
    <n v="800"/>
    <n v="5"/>
    <n v="4000"/>
    <x v="3"/>
    <x v="1"/>
    <x v="3"/>
    <x v="2"/>
    <x v="1"/>
    <n v="2025"/>
    <x v="1"/>
    <s v="Completed"/>
  </r>
  <r>
    <x v="62"/>
    <d v="2025-03-30T00:00:00"/>
    <x v="4"/>
    <x v="1"/>
    <n v="500"/>
    <n v="5"/>
    <n v="2500"/>
    <x v="0"/>
    <x v="5"/>
    <x v="4"/>
    <x v="2"/>
    <x v="0"/>
    <n v="2025"/>
    <x v="0"/>
    <s v="Completed"/>
  </r>
  <r>
    <x v="63"/>
    <d v="2025-02-13T00:00:00"/>
    <x v="9"/>
    <x v="4"/>
    <n v="1200"/>
    <n v="4"/>
    <n v="4800"/>
    <x v="1"/>
    <x v="2"/>
    <x v="3"/>
    <x v="1"/>
    <x v="1"/>
    <n v="2025"/>
    <x v="1"/>
    <s v="Pending"/>
  </r>
  <r>
    <x v="64"/>
    <d v="2025-03-16T00:00:00"/>
    <x v="5"/>
    <x v="3"/>
    <n v="15"/>
    <n v="3"/>
    <n v="45"/>
    <x v="0"/>
    <x v="1"/>
    <x v="1"/>
    <x v="1"/>
    <x v="0"/>
    <n v="2025"/>
    <x v="0"/>
    <s v="Pending"/>
  </r>
  <r>
    <x v="65"/>
    <d v="2025-03-14T00:00:00"/>
    <x v="2"/>
    <x v="1"/>
    <n v="150"/>
    <n v="2"/>
    <n v="300"/>
    <x v="6"/>
    <x v="2"/>
    <x v="3"/>
    <x v="1"/>
    <x v="0"/>
    <n v="2025"/>
    <x v="0"/>
    <s v="Pending"/>
  </r>
  <r>
    <x v="66"/>
    <d v="2025-03-31T00:00:00"/>
    <x v="1"/>
    <x v="1"/>
    <n v="100"/>
    <n v="3"/>
    <n v="300"/>
    <x v="8"/>
    <x v="0"/>
    <x v="0"/>
    <x v="1"/>
    <x v="0"/>
    <n v="2025"/>
    <x v="0"/>
    <s v="Pending"/>
  </r>
  <r>
    <x v="67"/>
    <d v="2025-02-23T00:00:00"/>
    <x v="1"/>
    <x v="1"/>
    <n v="100"/>
    <n v="1"/>
    <n v="100"/>
    <x v="5"/>
    <x v="4"/>
    <x v="0"/>
    <x v="0"/>
    <x v="1"/>
    <n v="2025"/>
    <x v="1"/>
    <s v="Cancelled"/>
  </r>
  <r>
    <x v="68"/>
    <d v="2025-02-25T00:00:00"/>
    <x v="9"/>
    <x v="4"/>
    <n v="1200"/>
    <n v="4"/>
    <n v="4800"/>
    <x v="5"/>
    <x v="6"/>
    <x v="4"/>
    <x v="1"/>
    <x v="1"/>
    <n v="2025"/>
    <x v="1"/>
    <s v="Pending"/>
  </r>
  <r>
    <x v="69"/>
    <d v="2025-03-10T00:00:00"/>
    <x v="5"/>
    <x v="3"/>
    <n v="15"/>
    <n v="1"/>
    <n v="15"/>
    <x v="1"/>
    <x v="6"/>
    <x v="2"/>
    <x v="2"/>
    <x v="0"/>
    <n v="2025"/>
    <x v="0"/>
    <s v="Completed"/>
  </r>
  <r>
    <x v="70"/>
    <d v="2025-03-16T00:00:00"/>
    <x v="2"/>
    <x v="1"/>
    <n v="150"/>
    <n v="5"/>
    <n v="750"/>
    <x v="2"/>
    <x v="2"/>
    <x v="2"/>
    <x v="1"/>
    <x v="0"/>
    <n v="2025"/>
    <x v="0"/>
    <s v="Pending"/>
  </r>
  <r>
    <x v="71"/>
    <d v="2025-03-07T00:00:00"/>
    <x v="7"/>
    <x v="1"/>
    <n v="800"/>
    <n v="3"/>
    <n v="2400"/>
    <x v="7"/>
    <x v="4"/>
    <x v="2"/>
    <x v="1"/>
    <x v="0"/>
    <n v="2025"/>
    <x v="0"/>
    <s v="Pending"/>
  </r>
  <r>
    <x v="72"/>
    <d v="2025-02-20T00:00:00"/>
    <x v="4"/>
    <x v="1"/>
    <n v="500"/>
    <n v="5"/>
    <n v="2500"/>
    <x v="1"/>
    <x v="5"/>
    <x v="2"/>
    <x v="0"/>
    <x v="1"/>
    <n v="2025"/>
    <x v="1"/>
    <s v="Cancelled"/>
  </r>
  <r>
    <x v="73"/>
    <d v="2025-03-25T00:00:00"/>
    <x v="9"/>
    <x v="4"/>
    <n v="1200"/>
    <n v="4"/>
    <n v="4800"/>
    <x v="9"/>
    <x v="3"/>
    <x v="4"/>
    <x v="0"/>
    <x v="0"/>
    <n v="2025"/>
    <x v="0"/>
    <s v="Cancelled"/>
  </r>
  <r>
    <x v="74"/>
    <d v="2025-02-26T00:00:00"/>
    <x v="1"/>
    <x v="1"/>
    <n v="100"/>
    <n v="2"/>
    <n v="200"/>
    <x v="7"/>
    <x v="6"/>
    <x v="3"/>
    <x v="1"/>
    <x v="1"/>
    <n v="2025"/>
    <x v="1"/>
    <s v="Pending"/>
  </r>
  <r>
    <x v="75"/>
    <d v="2025-02-24T00:00:00"/>
    <x v="8"/>
    <x v="4"/>
    <n v="600"/>
    <n v="1"/>
    <n v="600"/>
    <x v="9"/>
    <x v="3"/>
    <x v="1"/>
    <x v="2"/>
    <x v="1"/>
    <n v="2025"/>
    <x v="1"/>
    <s v="Completed"/>
  </r>
  <r>
    <x v="76"/>
    <d v="2025-03-20T00:00:00"/>
    <x v="1"/>
    <x v="1"/>
    <n v="100"/>
    <n v="2"/>
    <n v="200"/>
    <x v="7"/>
    <x v="4"/>
    <x v="2"/>
    <x v="2"/>
    <x v="0"/>
    <n v="2025"/>
    <x v="0"/>
    <s v="Completed"/>
  </r>
  <r>
    <x v="77"/>
    <d v="2025-03-18T00:00:00"/>
    <x v="2"/>
    <x v="1"/>
    <n v="150"/>
    <n v="2"/>
    <n v="300"/>
    <x v="0"/>
    <x v="8"/>
    <x v="4"/>
    <x v="0"/>
    <x v="0"/>
    <n v="2025"/>
    <x v="0"/>
    <s v="Cancelled"/>
  </r>
  <r>
    <x v="78"/>
    <d v="2025-03-09T00:00:00"/>
    <x v="0"/>
    <x v="0"/>
    <n v="60"/>
    <n v="2"/>
    <n v="120"/>
    <x v="1"/>
    <x v="2"/>
    <x v="4"/>
    <x v="0"/>
    <x v="0"/>
    <n v="2025"/>
    <x v="0"/>
    <s v="Cancelled"/>
  </r>
  <r>
    <x v="79"/>
    <d v="2025-02-23T00:00:00"/>
    <x v="0"/>
    <x v="0"/>
    <n v="60"/>
    <n v="4"/>
    <n v="240"/>
    <x v="4"/>
    <x v="1"/>
    <x v="0"/>
    <x v="1"/>
    <x v="1"/>
    <n v="2025"/>
    <x v="1"/>
    <s v="Pending"/>
  </r>
  <r>
    <x v="80"/>
    <d v="2025-02-26T00:00:00"/>
    <x v="1"/>
    <x v="1"/>
    <n v="100"/>
    <n v="3"/>
    <n v="300"/>
    <x v="6"/>
    <x v="9"/>
    <x v="3"/>
    <x v="0"/>
    <x v="1"/>
    <n v="2025"/>
    <x v="1"/>
    <s v="Cancelled"/>
  </r>
  <r>
    <x v="81"/>
    <d v="2025-02-24T00:00:00"/>
    <x v="4"/>
    <x v="1"/>
    <n v="500"/>
    <n v="3"/>
    <n v="1500"/>
    <x v="9"/>
    <x v="7"/>
    <x v="0"/>
    <x v="0"/>
    <x v="1"/>
    <n v="2025"/>
    <x v="1"/>
    <s v="Cancelled"/>
  </r>
  <r>
    <x v="82"/>
    <d v="2025-02-28T00:00:00"/>
    <x v="8"/>
    <x v="4"/>
    <n v="600"/>
    <n v="4"/>
    <n v="2400"/>
    <x v="0"/>
    <x v="4"/>
    <x v="4"/>
    <x v="0"/>
    <x v="1"/>
    <n v="2025"/>
    <x v="1"/>
    <s v="Cancelled"/>
  </r>
  <r>
    <x v="83"/>
    <d v="2025-02-14T00:00:00"/>
    <x v="3"/>
    <x v="2"/>
    <n v="20"/>
    <n v="5"/>
    <n v="100"/>
    <x v="3"/>
    <x v="6"/>
    <x v="3"/>
    <x v="2"/>
    <x v="1"/>
    <n v="2025"/>
    <x v="1"/>
    <s v="Completed"/>
  </r>
  <r>
    <x v="84"/>
    <d v="2025-02-06T00:00:00"/>
    <x v="4"/>
    <x v="1"/>
    <n v="500"/>
    <n v="5"/>
    <n v="2500"/>
    <x v="6"/>
    <x v="4"/>
    <x v="3"/>
    <x v="2"/>
    <x v="1"/>
    <n v="2025"/>
    <x v="1"/>
    <s v="Completed"/>
  </r>
  <r>
    <x v="85"/>
    <d v="2025-02-25T00:00:00"/>
    <x v="2"/>
    <x v="1"/>
    <n v="150"/>
    <n v="5"/>
    <n v="750"/>
    <x v="9"/>
    <x v="3"/>
    <x v="3"/>
    <x v="0"/>
    <x v="1"/>
    <n v="2025"/>
    <x v="1"/>
    <s v="Cancelled"/>
  </r>
  <r>
    <x v="86"/>
    <d v="2025-03-13T00:00:00"/>
    <x v="0"/>
    <x v="0"/>
    <n v="60"/>
    <n v="5"/>
    <n v="300"/>
    <x v="0"/>
    <x v="5"/>
    <x v="0"/>
    <x v="2"/>
    <x v="0"/>
    <n v="2025"/>
    <x v="0"/>
    <s v="Completed"/>
  </r>
  <r>
    <x v="87"/>
    <d v="2025-02-06T00:00:00"/>
    <x v="9"/>
    <x v="4"/>
    <n v="1200"/>
    <n v="2"/>
    <n v="2400"/>
    <x v="8"/>
    <x v="7"/>
    <x v="0"/>
    <x v="1"/>
    <x v="1"/>
    <n v="2025"/>
    <x v="1"/>
    <s v="Pending"/>
  </r>
  <r>
    <x v="88"/>
    <d v="2025-03-26T00:00:00"/>
    <x v="0"/>
    <x v="0"/>
    <n v="60"/>
    <n v="5"/>
    <n v="300"/>
    <x v="0"/>
    <x v="8"/>
    <x v="2"/>
    <x v="0"/>
    <x v="0"/>
    <n v="2025"/>
    <x v="0"/>
    <s v="Cancelled"/>
  </r>
  <r>
    <x v="89"/>
    <d v="2025-03-24T00:00:00"/>
    <x v="2"/>
    <x v="1"/>
    <n v="150"/>
    <n v="5"/>
    <n v="750"/>
    <x v="1"/>
    <x v="4"/>
    <x v="1"/>
    <x v="2"/>
    <x v="0"/>
    <n v="2025"/>
    <x v="0"/>
    <s v="Completed"/>
  </r>
  <r>
    <x v="90"/>
    <d v="2025-02-03T00:00:00"/>
    <x v="7"/>
    <x v="1"/>
    <n v="800"/>
    <n v="4"/>
    <n v="3200"/>
    <x v="7"/>
    <x v="4"/>
    <x v="4"/>
    <x v="1"/>
    <x v="1"/>
    <n v="2025"/>
    <x v="1"/>
    <s v="Pending"/>
  </r>
  <r>
    <x v="91"/>
    <d v="2025-03-15T00:00:00"/>
    <x v="4"/>
    <x v="1"/>
    <n v="500"/>
    <n v="2"/>
    <n v="1000"/>
    <x v="3"/>
    <x v="6"/>
    <x v="3"/>
    <x v="0"/>
    <x v="0"/>
    <n v="2025"/>
    <x v="0"/>
    <s v="Cancelled"/>
  </r>
  <r>
    <x v="92"/>
    <d v="2025-03-06T00:00:00"/>
    <x v="9"/>
    <x v="4"/>
    <n v="1200"/>
    <n v="5"/>
    <n v="6000"/>
    <x v="5"/>
    <x v="2"/>
    <x v="3"/>
    <x v="0"/>
    <x v="0"/>
    <n v="2025"/>
    <x v="0"/>
    <s v="Cancelled"/>
  </r>
  <r>
    <x v="93"/>
    <d v="2025-03-25T00:00:00"/>
    <x v="6"/>
    <x v="2"/>
    <n v="40"/>
    <n v="5"/>
    <n v="200"/>
    <x v="7"/>
    <x v="7"/>
    <x v="2"/>
    <x v="0"/>
    <x v="0"/>
    <n v="2025"/>
    <x v="0"/>
    <s v="Cancelled"/>
  </r>
  <r>
    <x v="94"/>
    <d v="2025-02-17T00:00:00"/>
    <x v="2"/>
    <x v="1"/>
    <n v="150"/>
    <n v="4"/>
    <n v="600"/>
    <x v="8"/>
    <x v="0"/>
    <x v="0"/>
    <x v="0"/>
    <x v="1"/>
    <n v="2025"/>
    <x v="1"/>
    <s v="Cancelled"/>
  </r>
  <r>
    <x v="95"/>
    <d v="2025-03-30T00:00:00"/>
    <x v="2"/>
    <x v="1"/>
    <n v="150"/>
    <n v="3"/>
    <n v="450"/>
    <x v="9"/>
    <x v="0"/>
    <x v="1"/>
    <x v="2"/>
    <x v="0"/>
    <n v="2025"/>
    <x v="0"/>
    <s v="Completed"/>
  </r>
  <r>
    <x v="96"/>
    <d v="2025-03-25T00:00:00"/>
    <x v="5"/>
    <x v="3"/>
    <n v="15"/>
    <n v="5"/>
    <n v="75"/>
    <x v="3"/>
    <x v="9"/>
    <x v="1"/>
    <x v="1"/>
    <x v="0"/>
    <n v="2025"/>
    <x v="0"/>
    <s v="Pending"/>
  </r>
  <r>
    <x v="97"/>
    <d v="2025-02-14T00:00:00"/>
    <x v="2"/>
    <x v="1"/>
    <n v="150"/>
    <n v="2"/>
    <n v="300"/>
    <x v="8"/>
    <x v="5"/>
    <x v="3"/>
    <x v="1"/>
    <x v="1"/>
    <n v="2025"/>
    <x v="1"/>
    <s v="Pending"/>
  </r>
  <r>
    <x v="98"/>
    <d v="2025-02-18T00:00:00"/>
    <x v="8"/>
    <x v="4"/>
    <n v="600"/>
    <n v="5"/>
    <n v="3000"/>
    <x v="6"/>
    <x v="7"/>
    <x v="0"/>
    <x v="2"/>
    <x v="1"/>
    <n v="2025"/>
    <x v="1"/>
    <s v="Completed"/>
  </r>
  <r>
    <x v="99"/>
    <d v="2025-02-13T00:00:00"/>
    <x v="0"/>
    <x v="0"/>
    <n v="60"/>
    <n v="1"/>
    <n v="60"/>
    <x v="9"/>
    <x v="4"/>
    <x v="4"/>
    <x v="0"/>
    <x v="1"/>
    <n v="2025"/>
    <x v="1"/>
    <s v="Cancelled"/>
  </r>
  <r>
    <x v="100"/>
    <d v="2025-02-20T00:00:00"/>
    <x v="5"/>
    <x v="3"/>
    <n v="15"/>
    <n v="5"/>
    <n v="75"/>
    <x v="2"/>
    <x v="2"/>
    <x v="3"/>
    <x v="1"/>
    <x v="1"/>
    <n v="2025"/>
    <x v="1"/>
    <s v="Pending"/>
  </r>
  <r>
    <x v="101"/>
    <d v="2025-02-28T00:00:00"/>
    <x v="4"/>
    <x v="1"/>
    <n v="500"/>
    <n v="2"/>
    <n v="1000"/>
    <x v="5"/>
    <x v="6"/>
    <x v="3"/>
    <x v="1"/>
    <x v="1"/>
    <n v="2025"/>
    <x v="1"/>
    <s v="Pending"/>
  </r>
  <r>
    <x v="102"/>
    <d v="2025-03-14T00:00:00"/>
    <x v="3"/>
    <x v="2"/>
    <n v="20"/>
    <n v="2"/>
    <n v="40"/>
    <x v="6"/>
    <x v="9"/>
    <x v="3"/>
    <x v="1"/>
    <x v="0"/>
    <n v="2025"/>
    <x v="0"/>
    <s v="Pending"/>
  </r>
  <r>
    <x v="103"/>
    <d v="2025-02-22T00:00:00"/>
    <x v="6"/>
    <x v="2"/>
    <n v="40"/>
    <n v="5"/>
    <n v="200"/>
    <x v="9"/>
    <x v="3"/>
    <x v="0"/>
    <x v="1"/>
    <x v="1"/>
    <n v="2025"/>
    <x v="1"/>
    <s v="Pending"/>
  </r>
  <r>
    <x v="104"/>
    <d v="2025-03-16T00:00:00"/>
    <x v="6"/>
    <x v="2"/>
    <n v="40"/>
    <n v="1"/>
    <n v="40"/>
    <x v="9"/>
    <x v="6"/>
    <x v="0"/>
    <x v="1"/>
    <x v="0"/>
    <n v="2025"/>
    <x v="0"/>
    <s v="Pending"/>
  </r>
  <r>
    <x v="105"/>
    <d v="2025-03-15T00:00:00"/>
    <x v="3"/>
    <x v="2"/>
    <n v="20"/>
    <n v="3"/>
    <n v="60"/>
    <x v="3"/>
    <x v="9"/>
    <x v="3"/>
    <x v="1"/>
    <x v="0"/>
    <n v="2025"/>
    <x v="0"/>
    <s v="Pending"/>
  </r>
  <r>
    <x v="106"/>
    <d v="2025-03-19T00:00:00"/>
    <x v="6"/>
    <x v="2"/>
    <n v="40"/>
    <n v="3"/>
    <n v="120"/>
    <x v="3"/>
    <x v="3"/>
    <x v="2"/>
    <x v="0"/>
    <x v="0"/>
    <n v="2025"/>
    <x v="0"/>
    <s v="Cancelled"/>
  </r>
  <r>
    <x v="107"/>
    <d v="2025-03-16T00:00:00"/>
    <x v="1"/>
    <x v="1"/>
    <n v="100"/>
    <n v="2"/>
    <n v="200"/>
    <x v="7"/>
    <x v="5"/>
    <x v="3"/>
    <x v="1"/>
    <x v="0"/>
    <n v="2025"/>
    <x v="0"/>
    <s v="Pending"/>
  </r>
  <r>
    <x v="108"/>
    <d v="2025-03-17T00:00:00"/>
    <x v="6"/>
    <x v="2"/>
    <n v="40"/>
    <n v="5"/>
    <n v="200"/>
    <x v="6"/>
    <x v="0"/>
    <x v="3"/>
    <x v="2"/>
    <x v="0"/>
    <n v="2025"/>
    <x v="0"/>
    <s v="Completed"/>
  </r>
  <r>
    <x v="109"/>
    <d v="2025-02-18T00:00:00"/>
    <x v="4"/>
    <x v="1"/>
    <n v="500"/>
    <n v="5"/>
    <n v="2500"/>
    <x v="3"/>
    <x v="3"/>
    <x v="1"/>
    <x v="1"/>
    <x v="1"/>
    <n v="2025"/>
    <x v="1"/>
    <s v="Pending"/>
  </r>
  <r>
    <x v="110"/>
    <d v="2025-03-31T00:00:00"/>
    <x v="7"/>
    <x v="1"/>
    <n v="800"/>
    <n v="4"/>
    <n v="3200"/>
    <x v="0"/>
    <x v="8"/>
    <x v="2"/>
    <x v="2"/>
    <x v="0"/>
    <n v="2025"/>
    <x v="0"/>
    <s v="Completed"/>
  </r>
  <r>
    <x v="111"/>
    <d v="2025-03-06T00:00:00"/>
    <x v="8"/>
    <x v="4"/>
    <n v="600"/>
    <n v="2"/>
    <n v="1200"/>
    <x v="5"/>
    <x v="3"/>
    <x v="4"/>
    <x v="0"/>
    <x v="0"/>
    <n v="2025"/>
    <x v="0"/>
    <s v="Cancelled"/>
  </r>
  <r>
    <x v="112"/>
    <d v="2025-03-19T00:00:00"/>
    <x v="5"/>
    <x v="3"/>
    <n v="15"/>
    <n v="5"/>
    <n v="75"/>
    <x v="5"/>
    <x v="1"/>
    <x v="0"/>
    <x v="1"/>
    <x v="0"/>
    <n v="2025"/>
    <x v="0"/>
    <s v="Pending"/>
  </r>
  <r>
    <x v="113"/>
    <d v="2025-02-23T00:00:00"/>
    <x v="0"/>
    <x v="0"/>
    <n v="60"/>
    <n v="1"/>
    <n v="60"/>
    <x v="0"/>
    <x v="4"/>
    <x v="2"/>
    <x v="1"/>
    <x v="1"/>
    <n v="2025"/>
    <x v="1"/>
    <s v="Pending"/>
  </r>
  <r>
    <x v="114"/>
    <d v="2025-03-21T00:00:00"/>
    <x v="0"/>
    <x v="0"/>
    <n v="60"/>
    <n v="3"/>
    <n v="180"/>
    <x v="3"/>
    <x v="5"/>
    <x v="1"/>
    <x v="2"/>
    <x v="0"/>
    <n v="2025"/>
    <x v="0"/>
    <s v="Completed"/>
  </r>
  <r>
    <x v="115"/>
    <d v="2025-03-19T00:00:00"/>
    <x v="7"/>
    <x v="1"/>
    <n v="800"/>
    <n v="4"/>
    <n v="3200"/>
    <x v="0"/>
    <x v="8"/>
    <x v="1"/>
    <x v="2"/>
    <x v="0"/>
    <n v="2025"/>
    <x v="0"/>
    <s v="Completed"/>
  </r>
  <r>
    <x v="116"/>
    <d v="2025-02-27T00:00:00"/>
    <x v="3"/>
    <x v="2"/>
    <n v="20"/>
    <n v="1"/>
    <n v="20"/>
    <x v="7"/>
    <x v="0"/>
    <x v="2"/>
    <x v="2"/>
    <x v="1"/>
    <n v="2025"/>
    <x v="1"/>
    <s v="Completed"/>
  </r>
  <r>
    <x v="117"/>
    <d v="2025-02-10T00:00:00"/>
    <x v="1"/>
    <x v="1"/>
    <n v="100"/>
    <n v="5"/>
    <n v="500"/>
    <x v="2"/>
    <x v="4"/>
    <x v="1"/>
    <x v="2"/>
    <x v="1"/>
    <n v="2025"/>
    <x v="1"/>
    <s v="Completed"/>
  </r>
  <r>
    <x v="118"/>
    <d v="2025-03-16T00:00:00"/>
    <x v="4"/>
    <x v="1"/>
    <n v="500"/>
    <n v="2"/>
    <n v="1000"/>
    <x v="8"/>
    <x v="9"/>
    <x v="3"/>
    <x v="1"/>
    <x v="0"/>
    <n v="2025"/>
    <x v="0"/>
    <s v="Pending"/>
  </r>
  <r>
    <x v="119"/>
    <d v="2025-02-16T00:00:00"/>
    <x v="7"/>
    <x v="1"/>
    <n v="800"/>
    <n v="5"/>
    <n v="4000"/>
    <x v="1"/>
    <x v="2"/>
    <x v="3"/>
    <x v="2"/>
    <x v="1"/>
    <n v="2025"/>
    <x v="1"/>
    <s v="Completed"/>
  </r>
  <r>
    <x v="120"/>
    <d v="2025-02-18T00:00:00"/>
    <x v="4"/>
    <x v="1"/>
    <n v="500"/>
    <n v="1"/>
    <n v="500"/>
    <x v="2"/>
    <x v="3"/>
    <x v="4"/>
    <x v="1"/>
    <x v="1"/>
    <n v="2025"/>
    <x v="1"/>
    <s v="Pending"/>
  </r>
  <r>
    <x v="121"/>
    <d v="2025-03-28T00:00:00"/>
    <x v="7"/>
    <x v="1"/>
    <n v="800"/>
    <n v="3"/>
    <n v="2400"/>
    <x v="2"/>
    <x v="5"/>
    <x v="2"/>
    <x v="0"/>
    <x v="0"/>
    <n v="2025"/>
    <x v="0"/>
    <s v="Cancelled"/>
  </r>
  <r>
    <x v="122"/>
    <d v="2025-02-23T00:00:00"/>
    <x v="5"/>
    <x v="3"/>
    <n v="15"/>
    <n v="3"/>
    <n v="45"/>
    <x v="8"/>
    <x v="6"/>
    <x v="4"/>
    <x v="0"/>
    <x v="1"/>
    <n v="2025"/>
    <x v="1"/>
    <s v="Cancelled"/>
  </r>
  <r>
    <x v="123"/>
    <d v="2025-02-10T00:00:00"/>
    <x v="5"/>
    <x v="3"/>
    <n v="15"/>
    <n v="1"/>
    <n v="15"/>
    <x v="0"/>
    <x v="7"/>
    <x v="4"/>
    <x v="1"/>
    <x v="1"/>
    <n v="2025"/>
    <x v="1"/>
    <s v="Pending"/>
  </r>
  <r>
    <x v="124"/>
    <d v="2025-02-23T00:00:00"/>
    <x v="4"/>
    <x v="1"/>
    <n v="500"/>
    <n v="1"/>
    <n v="500"/>
    <x v="1"/>
    <x v="2"/>
    <x v="1"/>
    <x v="2"/>
    <x v="1"/>
    <n v="2025"/>
    <x v="1"/>
    <s v="Completed"/>
  </r>
  <r>
    <x v="125"/>
    <d v="2025-02-04T00:00:00"/>
    <x v="9"/>
    <x v="4"/>
    <n v="1200"/>
    <n v="5"/>
    <n v="6000"/>
    <x v="3"/>
    <x v="9"/>
    <x v="4"/>
    <x v="1"/>
    <x v="1"/>
    <n v="2025"/>
    <x v="1"/>
    <s v="Pending"/>
  </r>
  <r>
    <x v="126"/>
    <d v="2025-02-18T00:00:00"/>
    <x v="3"/>
    <x v="2"/>
    <n v="20"/>
    <n v="3"/>
    <n v="60"/>
    <x v="0"/>
    <x v="3"/>
    <x v="0"/>
    <x v="2"/>
    <x v="1"/>
    <n v="2025"/>
    <x v="1"/>
    <s v="Completed"/>
  </r>
  <r>
    <x v="127"/>
    <d v="2025-03-23T00:00:00"/>
    <x v="2"/>
    <x v="1"/>
    <n v="150"/>
    <n v="2"/>
    <n v="300"/>
    <x v="1"/>
    <x v="3"/>
    <x v="3"/>
    <x v="0"/>
    <x v="0"/>
    <n v="2025"/>
    <x v="0"/>
    <s v="Cancelled"/>
  </r>
  <r>
    <x v="128"/>
    <d v="2025-02-26T00:00:00"/>
    <x v="6"/>
    <x v="2"/>
    <n v="40"/>
    <n v="5"/>
    <n v="200"/>
    <x v="1"/>
    <x v="0"/>
    <x v="0"/>
    <x v="1"/>
    <x v="1"/>
    <n v="2025"/>
    <x v="1"/>
    <s v="Pending"/>
  </r>
  <r>
    <x v="129"/>
    <d v="2025-02-10T00:00:00"/>
    <x v="2"/>
    <x v="1"/>
    <n v="150"/>
    <n v="5"/>
    <n v="750"/>
    <x v="5"/>
    <x v="6"/>
    <x v="3"/>
    <x v="2"/>
    <x v="1"/>
    <n v="2025"/>
    <x v="1"/>
    <s v="Completed"/>
  </r>
  <r>
    <x v="130"/>
    <d v="2025-02-26T00:00:00"/>
    <x v="6"/>
    <x v="2"/>
    <n v="40"/>
    <n v="2"/>
    <n v="80"/>
    <x v="7"/>
    <x v="9"/>
    <x v="2"/>
    <x v="1"/>
    <x v="1"/>
    <n v="2025"/>
    <x v="1"/>
    <s v="Pending"/>
  </r>
  <r>
    <x v="131"/>
    <d v="2025-03-07T00:00:00"/>
    <x v="4"/>
    <x v="1"/>
    <n v="500"/>
    <n v="2"/>
    <n v="1000"/>
    <x v="3"/>
    <x v="9"/>
    <x v="0"/>
    <x v="1"/>
    <x v="0"/>
    <n v="2025"/>
    <x v="0"/>
    <s v="Pending"/>
  </r>
  <r>
    <x v="132"/>
    <d v="2025-02-23T00:00:00"/>
    <x v="7"/>
    <x v="1"/>
    <n v="800"/>
    <n v="1"/>
    <n v="800"/>
    <x v="1"/>
    <x v="0"/>
    <x v="1"/>
    <x v="1"/>
    <x v="1"/>
    <n v="2025"/>
    <x v="1"/>
    <s v="Pending"/>
  </r>
  <r>
    <x v="133"/>
    <d v="2025-02-07T00:00:00"/>
    <x v="4"/>
    <x v="1"/>
    <n v="500"/>
    <n v="5"/>
    <n v="2500"/>
    <x v="5"/>
    <x v="9"/>
    <x v="4"/>
    <x v="1"/>
    <x v="1"/>
    <n v="2025"/>
    <x v="1"/>
    <s v="Pending"/>
  </r>
  <r>
    <x v="134"/>
    <d v="2025-02-10T00:00:00"/>
    <x v="3"/>
    <x v="2"/>
    <n v="20"/>
    <n v="1"/>
    <n v="20"/>
    <x v="3"/>
    <x v="5"/>
    <x v="2"/>
    <x v="1"/>
    <x v="1"/>
    <n v="2025"/>
    <x v="1"/>
    <s v="Pending"/>
  </r>
  <r>
    <x v="135"/>
    <d v="2025-02-11T00:00:00"/>
    <x v="9"/>
    <x v="4"/>
    <n v="1200"/>
    <n v="2"/>
    <n v="2400"/>
    <x v="7"/>
    <x v="1"/>
    <x v="3"/>
    <x v="0"/>
    <x v="1"/>
    <n v="2025"/>
    <x v="1"/>
    <s v="Cancelled"/>
  </r>
  <r>
    <x v="136"/>
    <d v="2025-03-20T00:00:00"/>
    <x v="2"/>
    <x v="1"/>
    <n v="150"/>
    <n v="3"/>
    <n v="450"/>
    <x v="4"/>
    <x v="1"/>
    <x v="0"/>
    <x v="2"/>
    <x v="0"/>
    <n v="2025"/>
    <x v="0"/>
    <s v="Completed"/>
  </r>
  <r>
    <x v="137"/>
    <d v="2025-02-11T00:00:00"/>
    <x v="2"/>
    <x v="1"/>
    <n v="150"/>
    <n v="5"/>
    <n v="750"/>
    <x v="2"/>
    <x v="8"/>
    <x v="2"/>
    <x v="0"/>
    <x v="1"/>
    <n v="2025"/>
    <x v="1"/>
    <s v="Cancelled"/>
  </r>
  <r>
    <x v="138"/>
    <d v="2025-03-18T00:00:00"/>
    <x v="7"/>
    <x v="1"/>
    <n v="800"/>
    <n v="2"/>
    <n v="1600"/>
    <x v="6"/>
    <x v="2"/>
    <x v="3"/>
    <x v="0"/>
    <x v="0"/>
    <n v="2025"/>
    <x v="0"/>
    <s v="Cancelled"/>
  </r>
  <r>
    <x v="139"/>
    <d v="2025-03-19T00:00:00"/>
    <x v="2"/>
    <x v="1"/>
    <n v="150"/>
    <n v="2"/>
    <n v="300"/>
    <x v="3"/>
    <x v="5"/>
    <x v="0"/>
    <x v="2"/>
    <x v="0"/>
    <n v="2025"/>
    <x v="0"/>
    <s v="Completed"/>
  </r>
  <r>
    <x v="140"/>
    <d v="2025-03-21T00:00:00"/>
    <x v="4"/>
    <x v="1"/>
    <n v="500"/>
    <n v="2"/>
    <n v="1000"/>
    <x v="2"/>
    <x v="5"/>
    <x v="3"/>
    <x v="2"/>
    <x v="0"/>
    <n v="2025"/>
    <x v="0"/>
    <s v="Completed"/>
  </r>
  <r>
    <x v="141"/>
    <d v="2025-03-15T00:00:00"/>
    <x v="4"/>
    <x v="1"/>
    <n v="500"/>
    <n v="3"/>
    <n v="1500"/>
    <x v="4"/>
    <x v="5"/>
    <x v="4"/>
    <x v="2"/>
    <x v="0"/>
    <n v="2025"/>
    <x v="0"/>
    <s v="Completed"/>
  </r>
  <r>
    <x v="142"/>
    <d v="2025-03-31T00:00:00"/>
    <x v="9"/>
    <x v="4"/>
    <n v="1200"/>
    <n v="2"/>
    <n v="2400"/>
    <x v="9"/>
    <x v="3"/>
    <x v="3"/>
    <x v="0"/>
    <x v="0"/>
    <n v="2025"/>
    <x v="0"/>
    <s v="Cancelled"/>
  </r>
  <r>
    <x v="143"/>
    <d v="2025-02-27T00:00:00"/>
    <x v="6"/>
    <x v="2"/>
    <n v="40"/>
    <n v="2"/>
    <n v="80"/>
    <x v="6"/>
    <x v="8"/>
    <x v="4"/>
    <x v="0"/>
    <x v="1"/>
    <n v="2025"/>
    <x v="1"/>
    <s v="Cancelled"/>
  </r>
  <r>
    <x v="144"/>
    <d v="2025-03-08T00:00:00"/>
    <x v="2"/>
    <x v="1"/>
    <n v="150"/>
    <n v="2"/>
    <n v="300"/>
    <x v="6"/>
    <x v="7"/>
    <x v="0"/>
    <x v="0"/>
    <x v="0"/>
    <n v="2025"/>
    <x v="0"/>
    <s v="Cancelled"/>
  </r>
  <r>
    <x v="145"/>
    <d v="2025-03-25T00:00:00"/>
    <x v="2"/>
    <x v="1"/>
    <n v="150"/>
    <n v="2"/>
    <n v="300"/>
    <x v="0"/>
    <x v="6"/>
    <x v="0"/>
    <x v="2"/>
    <x v="0"/>
    <n v="2025"/>
    <x v="0"/>
    <s v="Completed"/>
  </r>
  <r>
    <x v="146"/>
    <d v="2025-02-05T00:00:00"/>
    <x v="0"/>
    <x v="0"/>
    <n v="60"/>
    <n v="5"/>
    <n v="300"/>
    <x v="9"/>
    <x v="3"/>
    <x v="3"/>
    <x v="1"/>
    <x v="1"/>
    <n v="2025"/>
    <x v="1"/>
    <s v="Pending"/>
  </r>
  <r>
    <x v="147"/>
    <d v="2025-02-06T00:00:00"/>
    <x v="1"/>
    <x v="1"/>
    <n v="100"/>
    <n v="4"/>
    <n v="400"/>
    <x v="1"/>
    <x v="8"/>
    <x v="1"/>
    <x v="0"/>
    <x v="1"/>
    <n v="2025"/>
    <x v="1"/>
    <s v="Cancelled"/>
  </r>
  <r>
    <x v="148"/>
    <d v="2025-03-20T00:00:00"/>
    <x v="0"/>
    <x v="0"/>
    <n v="60"/>
    <n v="3"/>
    <n v="180"/>
    <x v="6"/>
    <x v="0"/>
    <x v="4"/>
    <x v="1"/>
    <x v="0"/>
    <n v="2025"/>
    <x v="0"/>
    <s v="Pending"/>
  </r>
  <r>
    <x v="149"/>
    <d v="2025-02-08T00:00:00"/>
    <x v="5"/>
    <x v="3"/>
    <n v="15"/>
    <n v="4"/>
    <n v="60"/>
    <x v="7"/>
    <x v="9"/>
    <x v="4"/>
    <x v="0"/>
    <x v="1"/>
    <n v="2025"/>
    <x v="1"/>
    <s v="Cancelled"/>
  </r>
  <r>
    <x v="150"/>
    <d v="2025-03-29T00:00:00"/>
    <x v="8"/>
    <x v="4"/>
    <n v="600"/>
    <n v="4"/>
    <n v="2400"/>
    <x v="9"/>
    <x v="8"/>
    <x v="1"/>
    <x v="1"/>
    <x v="0"/>
    <n v="2025"/>
    <x v="0"/>
    <s v="Pending"/>
  </r>
  <r>
    <x v="151"/>
    <d v="2025-02-28T00:00:00"/>
    <x v="2"/>
    <x v="1"/>
    <n v="150"/>
    <n v="1"/>
    <n v="150"/>
    <x v="2"/>
    <x v="7"/>
    <x v="4"/>
    <x v="2"/>
    <x v="1"/>
    <n v="2025"/>
    <x v="1"/>
    <s v="Completed"/>
  </r>
  <r>
    <x v="152"/>
    <d v="2025-02-23T00:00:00"/>
    <x v="2"/>
    <x v="1"/>
    <n v="150"/>
    <n v="5"/>
    <n v="750"/>
    <x v="4"/>
    <x v="1"/>
    <x v="3"/>
    <x v="1"/>
    <x v="1"/>
    <n v="2025"/>
    <x v="1"/>
    <s v="Pending"/>
  </r>
  <r>
    <x v="153"/>
    <d v="2025-03-01T00:00:00"/>
    <x v="1"/>
    <x v="1"/>
    <n v="100"/>
    <n v="2"/>
    <n v="200"/>
    <x v="2"/>
    <x v="2"/>
    <x v="0"/>
    <x v="2"/>
    <x v="0"/>
    <n v="2025"/>
    <x v="0"/>
    <s v="Completed"/>
  </r>
  <r>
    <x v="154"/>
    <d v="2025-02-05T00:00:00"/>
    <x v="9"/>
    <x v="4"/>
    <n v="1200"/>
    <n v="4"/>
    <n v="4800"/>
    <x v="4"/>
    <x v="7"/>
    <x v="2"/>
    <x v="1"/>
    <x v="1"/>
    <n v="2025"/>
    <x v="1"/>
    <s v="Pending"/>
  </r>
  <r>
    <x v="155"/>
    <d v="2025-03-16T00:00:00"/>
    <x v="2"/>
    <x v="1"/>
    <n v="150"/>
    <n v="4"/>
    <n v="600"/>
    <x v="3"/>
    <x v="5"/>
    <x v="3"/>
    <x v="0"/>
    <x v="0"/>
    <n v="2025"/>
    <x v="0"/>
    <s v="Cancelled"/>
  </r>
  <r>
    <x v="156"/>
    <d v="2025-02-08T00:00:00"/>
    <x v="4"/>
    <x v="1"/>
    <n v="500"/>
    <n v="3"/>
    <n v="1500"/>
    <x v="4"/>
    <x v="2"/>
    <x v="2"/>
    <x v="1"/>
    <x v="1"/>
    <n v="2025"/>
    <x v="1"/>
    <s v="Pending"/>
  </r>
  <r>
    <x v="157"/>
    <d v="2025-02-24T00:00:00"/>
    <x v="7"/>
    <x v="1"/>
    <n v="800"/>
    <n v="3"/>
    <n v="2400"/>
    <x v="8"/>
    <x v="5"/>
    <x v="0"/>
    <x v="1"/>
    <x v="1"/>
    <n v="2025"/>
    <x v="1"/>
    <s v="Pending"/>
  </r>
  <r>
    <x v="158"/>
    <d v="2025-02-16T00:00:00"/>
    <x v="3"/>
    <x v="2"/>
    <n v="20"/>
    <n v="2"/>
    <n v="40"/>
    <x v="5"/>
    <x v="3"/>
    <x v="4"/>
    <x v="0"/>
    <x v="1"/>
    <n v="2025"/>
    <x v="1"/>
    <s v="Cancelled"/>
  </r>
  <r>
    <x v="159"/>
    <d v="2025-02-06T00:00:00"/>
    <x v="8"/>
    <x v="4"/>
    <n v="600"/>
    <n v="3"/>
    <n v="1800"/>
    <x v="3"/>
    <x v="2"/>
    <x v="4"/>
    <x v="0"/>
    <x v="1"/>
    <n v="2025"/>
    <x v="1"/>
    <s v="Cancelled"/>
  </r>
  <r>
    <x v="160"/>
    <d v="2025-02-22T00:00:00"/>
    <x v="1"/>
    <x v="1"/>
    <n v="100"/>
    <n v="1"/>
    <n v="100"/>
    <x v="1"/>
    <x v="8"/>
    <x v="2"/>
    <x v="2"/>
    <x v="1"/>
    <n v="2025"/>
    <x v="1"/>
    <s v="Completed"/>
  </r>
  <r>
    <x v="161"/>
    <d v="2025-02-09T00:00:00"/>
    <x v="4"/>
    <x v="1"/>
    <n v="500"/>
    <n v="2"/>
    <n v="1000"/>
    <x v="3"/>
    <x v="9"/>
    <x v="2"/>
    <x v="2"/>
    <x v="1"/>
    <n v="2025"/>
    <x v="1"/>
    <s v="Completed"/>
  </r>
  <r>
    <x v="162"/>
    <d v="2025-02-20T00:00:00"/>
    <x v="0"/>
    <x v="0"/>
    <n v="60"/>
    <n v="2"/>
    <n v="120"/>
    <x v="8"/>
    <x v="4"/>
    <x v="3"/>
    <x v="2"/>
    <x v="1"/>
    <n v="2025"/>
    <x v="1"/>
    <s v="Completed"/>
  </r>
  <r>
    <x v="163"/>
    <d v="2025-02-25T00:00:00"/>
    <x v="2"/>
    <x v="1"/>
    <n v="150"/>
    <n v="5"/>
    <n v="750"/>
    <x v="6"/>
    <x v="6"/>
    <x v="0"/>
    <x v="1"/>
    <x v="1"/>
    <n v="2025"/>
    <x v="1"/>
    <s v="Pending"/>
  </r>
  <r>
    <x v="164"/>
    <d v="2025-03-14T00:00:00"/>
    <x v="5"/>
    <x v="3"/>
    <n v="15"/>
    <n v="1"/>
    <n v="15"/>
    <x v="5"/>
    <x v="0"/>
    <x v="1"/>
    <x v="1"/>
    <x v="0"/>
    <n v="2025"/>
    <x v="0"/>
    <s v="Pending"/>
  </r>
  <r>
    <x v="165"/>
    <d v="2025-03-30T00:00:00"/>
    <x v="8"/>
    <x v="4"/>
    <n v="600"/>
    <n v="4"/>
    <n v="2400"/>
    <x v="8"/>
    <x v="4"/>
    <x v="2"/>
    <x v="1"/>
    <x v="0"/>
    <n v="2025"/>
    <x v="0"/>
    <s v="Pending"/>
  </r>
  <r>
    <x v="166"/>
    <d v="2025-03-20T00:00:00"/>
    <x v="9"/>
    <x v="4"/>
    <n v="1200"/>
    <n v="2"/>
    <n v="2400"/>
    <x v="3"/>
    <x v="7"/>
    <x v="2"/>
    <x v="2"/>
    <x v="0"/>
    <n v="2025"/>
    <x v="0"/>
    <s v="Completed"/>
  </r>
  <r>
    <x v="167"/>
    <d v="2025-03-24T00:00:00"/>
    <x v="7"/>
    <x v="1"/>
    <n v="800"/>
    <n v="5"/>
    <n v="4000"/>
    <x v="6"/>
    <x v="5"/>
    <x v="0"/>
    <x v="1"/>
    <x v="0"/>
    <n v="2025"/>
    <x v="0"/>
    <s v="Pending"/>
  </r>
  <r>
    <x v="168"/>
    <d v="2025-03-06T00:00:00"/>
    <x v="9"/>
    <x v="4"/>
    <n v="1200"/>
    <n v="2"/>
    <n v="2400"/>
    <x v="2"/>
    <x v="2"/>
    <x v="3"/>
    <x v="2"/>
    <x v="0"/>
    <n v="2025"/>
    <x v="0"/>
    <s v="Completed"/>
  </r>
  <r>
    <x v="169"/>
    <d v="2025-02-28T00:00:00"/>
    <x v="7"/>
    <x v="1"/>
    <n v="800"/>
    <n v="1"/>
    <n v="800"/>
    <x v="0"/>
    <x v="1"/>
    <x v="4"/>
    <x v="1"/>
    <x v="1"/>
    <n v="2025"/>
    <x v="1"/>
    <s v="Pending"/>
  </r>
  <r>
    <x v="170"/>
    <d v="2025-02-28T00:00:00"/>
    <x v="2"/>
    <x v="1"/>
    <n v="150"/>
    <n v="2"/>
    <n v="300"/>
    <x v="7"/>
    <x v="4"/>
    <x v="3"/>
    <x v="2"/>
    <x v="1"/>
    <n v="2025"/>
    <x v="1"/>
    <s v="Completed"/>
  </r>
  <r>
    <x v="171"/>
    <d v="2025-03-12T00:00:00"/>
    <x v="5"/>
    <x v="3"/>
    <n v="15"/>
    <n v="1"/>
    <n v="15"/>
    <x v="5"/>
    <x v="5"/>
    <x v="0"/>
    <x v="0"/>
    <x v="0"/>
    <n v="2025"/>
    <x v="0"/>
    <s v="Cancelled"/>
  </r>
  <r>
    <x v="172"/>
    <d v="2025-02-28T00:00:00"/>
    <x v="9"/>
    <x v="4"/>
    <n v="1200"/>
    <n v="1"/>
    <n v="1200"/>
    <x v="3"/>
    <x v="7"/>
    <x v="3"/>
    <x v="2"/>
    <x v="1"/>
    <n v="2025"/>
    <x v="1"/>
    <s v="Completed"/>
  </r>
  <r>
    <x v="173"/>
    <d v="2025-03-13T00:00:00"/>
    <x v="2"/>
    <x v="1"/>
    <n v="150"/>
    <n v="2"/>
    <n v="300"/>
    <x v="5"/>
    <x v="9"/>
    <x v="0"/>
    <x v="1"/>
    <x v="0"/>
    <n v="2025"/>
    <x v="0"/>
    <s v="Pending"/>
  </r>
  <r>
    <x v="174"/>
    <d v="2025-03-24T00:00:00"/>
    <x v="6"/>
    <x v="2"/>
    <n v="40"/>
    <n v="5"/>
    <n v="200"/>
    <x v="5"/>
    <x v="0"/>
    <x v="0"/>
    <x v="0"/>
    <x v="0"/>
    <n v="2025"/>
    <x v="0"/>
    <s v="Cancelled"/>
  </r>
  <r>
    <x v="175"/>
    <d v="2025-03-27T00:00:00"/>
    <x v="5"/>
    <x v="3"/>
    <n v="15"/>
    <n v="1"/>
    <n v="15"/>
    <x v="6"/>
    <x v="6"/>
    <x v="1"/>
    <x v="2"/>
    <x v="0"/>
    <n v="2025"/>
    <x v="0"/>
    <s v="Completed"/>
  </r>
  <r>
    <x v="176"/>
    <d v="2025-03-14T00:00:00"/>
    <x v="5"/>
    <x v="3"/>
    <n v="15"/>
    <n v="5"/>
    <n v="75"/>
    <x v="5"/>
    <x v="1"/>
    <x v="2"/>
    <x v="1"/>
    <x v="0"/>
    <n v="2025"/>
    <x v="0"/>
    <s v="Pending"/>
  </r>
  <r>
    <x v="177"/>
    <d v="2025-02-06T00:00:00"/>
    <x v="4"/>
    <x v="1"/>
    <n v="500"/>
    <n v="3"/>
    <n v="1500"/>
    <x v="1"/>
    <x v="9"/>
    <x v="3"/>
    <x v="2"/>
    <x v="1"/>
    <n v="2025"/>
    <x v="1"/>
    <s v="Completed"/>
  </r>
  <r>
    <x v="178"/>
    <d v="2025-03-25T00:00:00"/>
    <x v="6"/>
    <x v="2"/>
    <n v="40"/>
    <n v="1"/>
    <n v="40"/>
    <x v="3"/>
    <x v="7"/>
    <x v="3"/>
    <x v="0"/>
    <x v="0"/>
    <n v="2025"/>
    <x v="0"/>
    <s v="Cancelled"/>
  </r>
  <r>
    <x v="179"/>
    <d v="2025-03-04T00:00:00"/>
    <x v="9"/>
    <x v="4"/>
    <n v="1200"/>
    <n v="3"/>
    <n v="3600"/>
    <x v="5"/>
    <x v="6"/>
    <x v="4"/>
    <x v="2"/>
    <x v="0"/>
    <n v="2025"/>
    <x v="0"/>
    <s v="Completed"/>
  </r>
  <r>
    <x v="180"/>
    <d v="2025-03-03T00:00:00"/>
    <x v="0"/>
    <x v="0"/>
    <n v="60"/>
    <n v="2"/>
    <n v="120"/>
    <x v="5"/>
    <x v="8"/>
    <x v="0"/>
    <x v="0"/>
    <x v="0"/>
    <n v="2025"/>
    <x v="0"/>
    <s v="Cancelled"/>
  </r>
  <r>
    <x v="181"/>
    <d v="2025-04-02T00:00:00"/>
    <x v="3"/>
    <x v="2"/>
    <n v="20"/>
    <n v="5"/>
    <n v="100"/>
    <x v="0"/>
    <x v="2"/>
    <x v="3"/>
    <x v="2"/>
    <x v="2"/>
    <n v="2025"/>
    <x v="2"/>
    <s v="Completed"/>
  </r>
  <r>
    <x v="182"/>
    <d v="2025-03-25T00:00:00"/>
    <x v="8"/>
    <x v="4"/>
    <n v="600"/>
    <n v="1"/>
    <n v="600"/>
    <x v="0"/>
    <x v="7"/>
    <x v="0"/>
    <x v="1"/>
    <x v="0"/>
    <n v="2025"/>
    <x v="0"/>
    <s v="Pending"/>
  </r>
  <r>
    <x v="183"/>
    <d v="2025-02-17T00:00:00"/>
    <x v="5"/>
    <x v="3"/>
    <n v="15"/>
    <n v="5"/>
    <n v="75"/>
    <x v="7"/>
    <x v="5"/>
    <x v="0"/>
    <x v="1"/>
    <x v="1"/>
    <n v="2025"/>
    <x v="1"/>
    <s v="Pending"/>
  </r>
  <r>
    <x v="184"/>
    <d v="2025-03-22T00:00:00"/>
    <x v="3"/>
    <x v="2"/>
    <n v="20"/>
    <n v="1"/>
    <n v="20"/>
    <x v="8"/>
    <x v="3"/>
    <x v="0"/>
    <x v="2"/>
    <x v="0"/>
    <n v="2025"/>
    <x v="0"/>
    <s v="Completed"/>
  </r>
  <r>
    <x v="185"/>
    <d v="2025-03-02T00:00:00"/>
    <x v="8"/>
    <x v="4"/>
    <n v="600"/>
    <n v="4"/>
    <n v="2400"/>
    <x v="6"/>
    <x v="0"/>
    <x v="3"/>
    <x v="2"/>
    <x v="0"/>
    <n v="2025"/>
    <x v="0"/>
    <s v="Completed"/>
  </r>
  <r>
    <x v="186"/>
    <d v="2025-03-13T00:00:00"/>
    <x v="7"/>
    <x v="1"/>
    <n v="800"/>
    <n v="3"/>
    <n v="2400"/>
    <x v="2"/>
    <x v="0"/>
    <x v="3"/>
    <x v="1"/>
    <x v="0"/>
    <n v="2025"/>
    <x v="0"/>
    <s v="Pending"/>
  </r>
  <r>
    <x v="187"/>
    <d v="2025-02-14T00:00:00"/>
    <x v="5"/>
    <x v="3"/>
    <n v="15"/>
    <n v="1"/>
    <n v="15"/>
    <x v="2"/>
    <x v="6"/>
    <x v="1"/>
    <x v="2"/>
    <x v="1"/>
    <n v="2025"/>
    <x v="1"/>
    <s v="Completed"/>
  </r>
  <r>
    <x v="188"/>
    <d v="2025-02-10T00:00:00"/>
    <x v="7"/>
    <x v="1"/>
    <n v="800"/>
    <n v="3"/>
    <n v="2400"/>
    <x v="9"/>
    <x v="4"/>
    <x v="1"/>
    <x v="2"/>
    <x v="1"/>
    <n v="2025"/>
    <x v="1"/>
    <s v="Completed"/>
  </r>
  <r>
    <x v="189"/>
    <d v="2025-02-23T00:00:00"/>
    <x v="0"/>
    <x v="0"/>
    <n v="60"/>
    <n v="1"/>
    <n v="60"/>
    <x v="4"/>
    <x v="4"/>
    <x v="3"/>
    <x v="2"/>
    <x v="1"/>
    <n v="2025"/>
    <x v="1"/>
    <s v="Completed"/>
  </r>
  <r>
    <x v="190"/>
    <d v="2025-02-28T00:00:00"/>
    <x v="6"/>
    <x v="2"/>
    <n v="40"/>
    <n v="4"/>
    <n v="160"/>
    <x v="2"/>
    <x v="7"/>
    <x v="1"/>
    <x v="1"/>
    <x v="1"/>
    <n v="2025"/>
    <x v="1"/>
    <s v="Pending"/>
  </r>
  <r>
    <x v="191"/>
    <d v="2025-03-31T00:00:00"/>
    <x v="1"/>
    <x v="1"/>
    <n v="100"/>
    <n v="3"/>
    <n v="300"/>
    <x v="4"/>
    <x v="3"/>
    <x v="4"/>
    <x v="1"/>
    <x v="0"/>
    <n v="2025"/>
    <x v="0"/>
    <s v="Pending"/>
  </r>
  <r>
    <x v="192"/>
    <d v="2025-03-30T00:00:00"/>
    <x v="5"/>
    <x v="3"/>
    <n v="15"/>
    <n v="5"/>
    <n v="75"/>
    <x v="5"/>
    <x v="9"/>
    <x v="1"/>
    <x v="1"/>
    <x v="0"/>
    <n v="2025"/>
    <x v="0"/>
    <s v="Pending"/>
  </r>
  <r>
    <x v="193"/>
    <d v="2025-02-20T00:00:00"/>
    <x v="6"/>
    <x v="2"/>
    <n v="40"/>
    <n v="4"/>
    <n v="160"/>
    <x v="2"/>
    <x v="1"/>
    <x v="0"/>
    <x v="0"/>
    <x v="1"/>
    <n v="2025"/>
    <x v="1"/>
    <s v="Cancelled"/>
  </r>
  <r>
    <x v="194"/>
    <d v="2025-03-10T00:00:00"/>
    <x v="4"/>
    <x v="1"/>
    <n v="500"/>
    <n v="3"/>
    <n v="1500"/>
    <x v="3"/>
    <x v="2"/>
    <x v="4"/>
    <x v="0"/>
    <x v="0"/>
    <n v="2025"/>
    <x v="0"/>
    <s v="Cancelled"/>
  </r>
  <r>
    <x v="195"/>
    <d v="2025-03-04T00:00:00"/>
    <x v="1"/>
    <x v="1"/>
    <n v="100"/>
    <n v="5"/>
    <n v="500"/>
    <x v="7"/>
    <x v="7"/>
    <x v="0"/>
    <x v="1"/>
    <x v="0"/>
    <n v="2025"/>
    <x v="0"/>
    <s v="Pending"/>
  </r>
  <r>
    <x v="196"/>
    <d v="2025-03-12T00:00:00"/>
    <x v="0"/>
    <x v="0"/>
    <n v="60"/>
    <n v="2"/>
    <n v="120"/>
    <x v="6"/>
    <x v="2"/>
    <x v="4"/>
    <x v="2"/>
    <x v="0"/>
    <n v="2025"/>
    <x v="0"/>
    <s v="Completed"/>
  </r>
  <r>
    <x v="197"/>
    <d v="2025-02-20T00:00:00"/>
    <x v="7"/>
    <x v="1"/>
    <n v="800"/>
    <n v="4"/>
    <n v="3200"/>
    <x v="9"/>
    <x v="7"/>
    <x v="1"/>
    <x v="1"/>
    <x v="1"/>
    <n v="2025"/>
    <x v="1"/>
    <s v="Pending"/>
  </r>
  <r>
    <x v="198"/>
    <d v="2025-02-22T00:00:00"/>
    <x v="4"/>
    <x v="1"/>
    <n v="500"/>
    <n v="3"/>
    <n v="1500"/>
    <x v="8"/>
    <x v="3"/>
    <x v="2"/>
    <x v="2"/>
    <x v="1"/>
    <n v="2025"/>
    <x v="1"/>
    <s v="Completed"/>
  </r>
  <r>
    <x v="199"/>
    <d v="2025-02-10T00:00:00"/>
    <x v="5"/>
    <x v="3"/>
    <n v="15"/>
    <n v="2"/>
    <n v="30"/>
    <x v="8"/>
    <x v="8"/>
    <x v="0"/>
    <x v="2"/>
    <x v="1"/>
    <n v="2025"/>
    <x v="1"/>
    <s v="Completed"/>
  </r>
  <r>
    <x v="200"/>
    <d v="2025-02-03T00:00:00"/>
    <x v="5"/>
    <x v="3"/>
    <n v="15"/>
    <n v="4"/>
    <n v="60"/>
    <x v="6"/>
    <x v="1"/>
    <x v="2"/>
    <x v="2"/>
    <x v="1"/>
    <n v="2025"/>
    <x v="1"/>
    <s v="Completed"/>
  </r>
  <r>
    <x v="201"/>
    <d v="2025-02-21T00:00:00"/>
    <x v="4"/>
    <x v="1"/>
    <n v="500"/>
    <n v="2"/>
    <n v="1000"/>
    <x v="7"/>
    <x v="5"/>
    <x v="2"/>
    <x v="0"/>
    <x v="1"/>
    <n v="2025"/>
    <x v="1"/>
    <s v="Cancelled"/>
  </r>
  <r>
    <x v="202"/>
    <d v="2025-02-21T00:00:00"/>
    <x v="9"/>
    <x v="4"/>
    <n v="1200"/>
    <n v="3"/>
    <n v="3600"/>
    <x v="2"/>
    <x v="3"/>
    <x v="0"/>
    <x v="2"/>
    <x v="1"/>
    <n v="2025"/>
    <x v="1"/>
    <s v="Completed"/>
  </r>
  <r>
    <x v="203"/>
    <d v="2025-03-08T00:00:00"/>
    <x v="0"/>
    <x v="0"/>
    <n v="60"/>
    <n v="5"/>
    <n v="300"/>
    <x v="9"/>
    <x v="5"/>
    <x v="4"/>
    <x v="1"/>
    <x v="0"/>
    <n v="2025"/>
    <x v="0"/>
    <s v="Pending"/>
  </r>
  <r>
    <x v="204"/>
    <d v="2025-02-27T00:00:00"/>
    <x v="1"/>
    <x v="1"/>
    <n v="100"/>
    <n v="2"/>
    <n v="200"/>
    <x v="5"/>
    <x v="4"/>
    <x v="3"/>
    <x v="2"/>
    <x v="1"/>
    <n v="2025"/>
    <x v="1"/>
    <s v="Completed"/>
  </r>
  <r>
    <x v="205"/>
    <d v="2025-02-12T00:00:00"/>
    <x v="8"/>
    <x v="4"/>
    <n v="600"/>
    <n v="5"/>
    <n v="3000"/>
    <x v="0"/>
    <x v="5"/>
    <x v="1"/>
    <x v="1"/>
    <x v="1"/>
    <n v="2025"/>
    <x v="1"/>
    <s v="Pending"/>
  </r>
  <r>
    <x v="206"/>
    <d v="2025-03-21T00:00:00"/>
    <x v="8"/>
    <x v="4"/>
    <n v="600"/>
    <n v="1"/>
    <n v="600"/>
    <x v="2"/>
    <x v="5"/>
    <x v="2"/>
    <x v="2"/>
    <x v="0"/>
    <n v="2025"/>
    <x v="0"/>
    <s v="Completed"/>
  </r>
  <r>
    <x v="207"/>
    <d v="2025-02-02T00:00:00"/>
    <x v="9"/>
    <x v="4"/>
    <n v="1200"/>
    <n v="3"/>
    <n v="3600"/>
    <x v="2"/>
    <x v="5"/>
    <x v="3"/>
    <x v="2"/>
    <x v="1"/>
    <n v="2025"/>
    <x v="1"/>
    <s v="Completed"/>
  </r>
  <r>
    <x v="208"/>
    <d v="2025-03-29T00:00:00"/>
    <x v="6"/>
    <x v="2"/>
    <n v="40"/>
    <n v="5"/>
    <n v="200"/>
    <x v="7"/>
    <x v="3"/>
    <x v="3"/>
    <x v="2"/>
    <x v="0"/>
    <n v="2025"/>
    <x v="0"/>
    <s v="Completed"/>
  </r>
  <r>
    <x v="209"/>
    <d v="2025-03-23T00:00:00"/>
    <x v="7"/>
    <x v="1"/>
    <n v="800"/>
    <n v="3"/>
    <n v="2400"/>
    <x v="9"/>
    <x v="0"/>
    <x v="3"/>
    <x v="2"/>
    <x v="0"/>
    <n v="2025"/>
    <x v="0"/>
    <s v="Completed"/>
  </r>
  <r>
    <x v="210"/>
    <d v="2025-03-13T00:00:00"/>
    <x v="4"/>
    <x v="1"/>
    <n v="500"/>
    <n v="1"/>
    <n v="500"/>
    <x v="5"/>
    <x v="5"/>
    <x v="4"/>
    <x v="1"/>
    <x v="0"/>
    <n v="2025"/>
    <x v="0"/>
    <s v="Pending"/>
  </r>
  <r>
    <x v="211"/>
    <d v="2025-03-09T00:00:00"/>
    <x v="3"/>
    <x v="2"/>
    <n v="20"/>
    <n v="4"/>
    <n v="80"/>
    <x v="0"/>
    <x v="4"/>
    <x v="0"/>
    <x v="2"/>
    <x v="0"/>
    <n v="2025"/>
    <x v="0"/>
    <s v="Completed"/>
  </r>
  <r>
    <x v="212"/>
    <d v="2025-02-06T00:00:00"/>
    <x v="7"/>
    <x v="1"/>
    <n v="800"/>
    <n v="1"/>
    <n v="800"/>
    <x v="9"/>
    <x v="8"/>
    <x v="1"/>
    <x v="0"/>
    <x v="1"/>
    <n v="2025"/>
    <x v="1"/>
    <s v="Cancelled"/>
  </r>
  <r>
    <x v="213"/>
    <d v="2025-02-18T00:00:00"/>
    <x v="2"/>
    <x v="1"/>
    <n v="150"/>
    <n v="5"/>
    <n v="750"/>
    <x v="1"/>
    <x v="4"/>
    <x v="0"/>
    <x v="2"/>
    <x v="1"/>
    <n v="2025"/>
    <x v="1"/>
    <s v="Completed"/>
  </r>
  <r>
    <x v="214"/>
    <d v="2025-03-07T00:00:00"/>
    <x v="0"/>
    <x v="0"/>
    <n v="60"/>
    <n v="1"/>
    <n v="60"/>
    <x v="0"/>
    <x v="4"/>
    <x v="3"/>
    <x v="2"/>
    <x v="0"/>
    <n v="2025"/>
    <x v="0"/>
    <s v="Completed"/>
  </r>
  <r>
    <x v="215"/>
    <d v="2025-03-26T00:00:00"/>
    <x v="6"/>
    <x v="2"/>
    <n v="40"/>
    <n v="2"/>
    <n v="80"/>
    <x v="8"/>
    <x v="9"/>
    <x v="2"/>
    <x v="2"/>
    <x v="0"/>
    <n v="2025"/>
    <x v="0"/>
    <s v="Completed"/>
  </r>
  <r>
    <x v="216"/>
    <d v="2025-03-19T00:00:00"/>
    <x v="0"/>
    <x v="0"/>
    <n v="60"/>
    <n v="2"/>
    <n v="120"/>
    <x v="0"/>
    <x v="6"/>
    <x v="4"/>
    <x v="1"/>
    <x v="0"/>
    <n v="2025"/>
    <x v="0"/>
    <s v="Pending"/>
  </r>
  <r>
    <x v="217"/>
    <d v="2025-02-15T00:00:00"/>
    <x v="1"/>
    <x v="1"/>
    <n v="100"/>
    <n v="4"/>
    <n v="400"/>
    <x v="7"/>
    <x v="0"/>
    <x v="4"/>
    <x v="0"/>
    <x v="1"/>
    <n v="2025"/>
    <x v="1"/>
    <s v="Cancelled"/>
  </r>
  <r>
    <x v="218"/>
    <d v="2025-02-17T00:00:00"/>
    <x v="1"/>
    <x v="1"/>
    <n v="100"/>
    <n v="3"/>
    <n v="300"/>
    <x v="5"/>
    <x v="4"/>
    <x v="3"/>
    <x v="0"/>
    <x v="1"/>
    <n v="2025"/>
    <x v="1"/>
    <s v="Cancelled"/>
  </r>
  <r>
    <x v="219"/>
    <d v="2025-02-10T00:00:00"/>
    <x v="2"/>
    <x v="1"/>
    <n v="150"/>
    <n v="3"/>
    <n v="450"/>
    <x v="6"/>
    <x v="2"/>
    <x v="0"/>
    <x v="2"/>
    <x v="1"/>
    <n v="2025"/>
    <x v="1"/>
    <s v="Completed"/>
  </r>
  <r>
    <x v="220"/>
    <d v="2025-02-28T00:00:00"/>
    <x v="8"/>
    <x v="4"/>
    <n v="600"/>
    <n v="2"/>
    <n v="1200"/>
    <x v="1"/>
    <x v="9"/>
    <x v="4"/>
    <x v="0"/>
    <x v="1"/>
    <n v="2025"/>
    <x v="1"/>
    <s v="Cancelled"/>
  </r>
  <r>
    <x v="221"/>
    <d v="2025-02-16T00:00:00"/>
    <x v="8"/>
    <x v="4"/>
    <n v="600"/>
    <n v="2"/>
    <n v="1200"/>
    <x v="8"/>
    <x v="7"/>
    <x v="3"/>
    <x v="0"/>
    <x v="1"/>
    <n v="2025"/>
    <x v="1"/>
    <s v="Cancelled"/>
  </r>
  <r>
    <x v="222"/>
    <d v="2025-03-24T00:00:00"/>
    <x v="6"/>
    <x v="2"/>
    <n v="40"/>
    <n v="2"/>
    <n v="80"/>
    <x v="5"/>
    <x v="2"/>
    <x v="1"/>
    <x v="0"/>
    <x v="0"/>
    <n v="2025"/>
    <x v="0"/>
    <s v="Cancelled"/>
  </r>
  <r>
    <x v="223"/>
    <d v="2025-03-18T00:00:00"/>
    <x v="9"/>
    <x v="4"/>
    <n v="1200"/>
    <n v="1"/>
    <n v="1200"/>
    <x v="9"/>
    <x v="5"/>
    <x v="3"/>
    <x v="2"/>
    <x v="0"/>
    <n v="2025"/>
    <x v="0"/>
    <s v="Completed"/>
  </r>
  <r>
    <x v="224"/>
    <d v="2025-03-11T00:00:00"/>
    <x v="6"/>
    <x v="2"/>
    <n v="40"/>
    <n v="1"/>
    <n v="40"/>
    <x v="4"/>
    <x v="0"/>
    <x v="4"/>
    <x v="0"/>
    <x v="0"/>
    <n v="2025"/>
    <x v="0"/>
    <s v="Cancelled"/>
  </r>
  <r>
    <x v="225"/>
    <d v="2025-03-05T00:00:00"/>
    <x v="0"/>
    <x v="0"/>
    <n v="60"/>
    <n v="4"/>
    <n v="240"/>
    <x v="8"/>
    <x v="9"/>
    <x v="1"/>
    <x v="2"/>
    <x v="0"/>
    <n v="2025"/>
    <x v="0"/>
    <s v="Completed"/>
  </r>
  <r>
    <x v="226"/>
    <d v="2025-04-02T00:00:00"/>
    <x v="1"/>
    <x v="1"/>
    <n v="100"/>
    <n v="5"/>
    <n v="500"/>
    <x v="0"/>
    <x v="5"/>
    <x v="1"/>
    <x v="0"/>
    <x v="2"/>
    <n v="2025"/>
    <x v="2"/>
    <s v="Cancelled"/>
  </r>
  <r>
    <x v="227"/>
    <d v="2025-02-12T00:00:00"/>
    <x v="0"/>
    <x v="0"/>
    <n v="60"/>
    <n v="1"/>
    <n v="60"/>
    <x v="5"/>
    <x v="1"/>
    <x v="2"/>
    <x v="1"/>
    <x v="1"/>
    <n v="2025"/>
    <x v="1"/>
    <s v="Pending"/>
  </r>
  <r>
    <x v="228"/>
    <d v="2025-03-21T00:00:00"/>
    <x v="0"/>
    <x v="0"/>
    <n v="60"/>
    <n v="3"/>
    <n v="180"/>
    <x v="0"/>
    <x v="1"/>
    <x v="2"/>
    <x v="1"/>
    <x v="0"/>
    <n v="2025"/>
    <x v="0"/>
    <s v="Pending"/>
  </r>
  <r>
    <x v="229"/>
    <d v="2025-03-31T00:00:00"/>
    <x v="1"/>
    <x v="1"/>
    <n v="100"/>
    <n v="4"/>
    <n v="400"/>
    <x v="9"/>
    <x v="1"/>
    <x v="1"/>
    <x v="1"/>
    <x v="0"/>
    <n v="2025"/>
    <x v="0"/>
    <s v="Pending"/>
  </r>
  <r>
    <x v="230"/>
    <d v="2025-02-16T00:00:00"/>
    <x v="7"/>
    <x v="1"/>
    <n v="800"/>
    <n v="5"/>
    <n v="4000"/>
    <x v="9"/>
    <x v="6"/>
    <x v="2"/>
    <x v="0"/>
    <x v="1"/>
    <n v="2025"/>
    <x v="1"/>
    <s v="Cancelled"/>
  </r>
  <r>
    <x v="231"/>
    <d v="2025-03-14T00:00:00"/>
    <x v="9"/>
    <x v="4"/>
    <n v="1200"/>
    <n v="3"/>
    <n v="3600"/>
    <x v="0"/>
    <x v="8"/>
    <x v="2"/>
    <x v="2"/>
    <x v="0"/>
    <n v="2025"/>
    <x v="0"/>
    <s v="Completed"/>
  </r>
  <r>
    <x v="232"/>
    <d v="2025-02-20T00:00:00"/>
    <x v="0"/>
    <x v="0"/>
    <n v="60"/>
    <n v="1"/>
    <n v="60"/>
    <x v="5"/>
    <x v="6"/>
    <x v="3"/>
    <x v="0"/>
    <x v="1"/>
    <n v="2025"/>
    <x v="1"/>
    <s v="Cancelled"/>
  </r>
  <r>
    <x v="233"/>
    <d v="2025-03-08T00:00:00"/>
    <x v="5"/>
    <x v="3"/>
    <n v="15"/>
    <n v="1"/>
    <n v="15"/>
    <x v="9"/>
    <x v="5"/>
    <x v="1"/>
    <x v="0"/>
    <x v="0"/>
    <n v="2025"/>
    <x v="0"/>
    <s v="Cancelled"/>
  </r>
  <r>
    <x v="234"/>
    <d v="2025-03-23T00:00:00"/>
    <x v="9"/>
    <x v="4"/>
    <n v="1200"/>
    <n v="1"/>
    <n v="1200"/>
    <x v="7"/>
    <x v="3"/>
    <x v="3"/>
    <x v="2"/>
    <x v="0"/>
    <n v="2025"/>
    <x v="0"/>
    <s v="Completed"/>
  </r>
  <r>
    <x v="235"/>
    <d v="2025-03-05T00:00:00"/>
    <x v="4"/>
    <x v="1"/>
    <n v="500"/>
    <n v="5"/>
    <n v="2500"/>
    <x v="2"/>
    <x v="6"/>
    <x v="3"/>
    <x v="2"/>
    <x v="0"/>
    <n v="2025"/>
    <x v="0"/>
    <s v="Completed"/>
  </r>
  <r>
    <x v="236"/>
    <d v="2025-02-11T00:00:00"/>
    <x v="1"/>
    <x v="1"/>
    <n v="100"/>
    <n v="3"/>
    <n v="300"/>
    <x v="6"/>
    <x v="4"/>
    <x v="0"/>
    <x v="0"/>
    <x v="1"/>
    <n v="2025"/>
    <x v="1"/>
    <s v="Cancelled"/>
  </r>
  <r>
    <x v="237"/>
    <d v="2025-03-16T00:00:00"/>
    <x v="1"/>
    <x v="1"/>
    <n v="100"/>
    <n v="1"/>
    <n v="100"/>
    <x v="3"/>
    <x v="2"/>
    <x v="3"/>
    <x v="2"/>
    <x v="0"/>
    <n v="2025"/>
    <x v="0"/>
    <s v="Completed"/>
  </r>
  <r>
    <x v="238"/>
    <d v="2025-03-22T00:00:00"/>
    <x v="2"/>
    <x v="1"/>
    <n v="150"/>
    <n v="5"/>
    <n v="750"/>
    <x v="7"/>
    <x v="4"/>
    <x v="1"/>
    <x v="2"/>
    <x v="0"/>
    <n v="2025"/>
    <x v="0"/>
    <s v="Completed"/>
  </r>
  <r>
    <x v="239"/>
    <d v="2025-02-09T00:00:00"/>
    <x v="2"/>
    <x v="1"/>
    <n v="150"/>
    <n v="1"/>
    <n v="150"/>
    <x v="2"/>
    <x v="2"/>
    <x v="4"/>
    <x v="1"/>
    <x v="1"/>
    <n v="2025"/>
    <x v="1"/>
    <s v="Pending"/>
  </r>
  <r>
    <x v="240"/>
    <d v="2025-03-30T00:00:00"/>
    <x v="4"/>
    <x v="1"/>
    <n v="500"/>
    <n v="4"/>
    <n v="2000"/>
    <x v="3"/>
    <x v="0"/>
    <x v="2"/>
    <x v="1"/>
    <x v="0"/>
    <n v="2025"/>
    <x v="0"/>
    <s v="Pending"/>
  </r>
  <r>
    <x v="241"/>
    <d v="2025-03-08T00:00:00"/>
    <x v="4"/>
    <x v="1"/>
    <n v="500"/>
    <n v="4"/>
    <n v="2000"/>
    <x v="8"/>
    <x v="6"/>
    <x v="4"/>
    <x v="1"/>
    <x v="0"/>
    <n v="2025"/>
    <x v="0"/>
    <s v="Pending"/>
  </r>
  <r>
    <x v="242"/>
    <d v="2025-03-05T00:00:00"/>
    <x v="0"/>
    <x v="0"/>
    <n v="60"/>
    <n v="2"/>
    <n v="120"/>
    <x v="8"/>
    <x v="4"/>
    <x v="1"/>
    <x v="2"/>
    <x v="0"/>
    <n v="2025"/>
    <x v="0"/>
    <s v="Completed"/>
  </r>
  <r>
    <x v="243"/>
    <d v="2025-02-06T00:00:00"/>
    <x v="4"/>
    <x v="1"/>
    <n v="500"/>
    <n v="4"/>
    <n v="2000"/>
    <x v="0"/>
    <x v="4"/>
    <x v="2"/>
    <x v="2"/>
    <x v="1"/>
    <n v="2025"/>
    <x v="1"/>
    <s v="Completed"/>
  </r>
  <r>
    <x v="244"/>
    <d v="2025-02-04T00:00:00"/>
    <x v="7"/>
    <x v="1"/>
    <n v="800"/>
    <n v="1"/>
    <n v="800"/>
    <x v="6"/>
    <x v="8"/>
    <x v="2"/>
    <x v="0"/>
    <x v="1"/>
    <n v="2025"/>
    <x v="1"/>
    <s v="Cancelled"/>
  </r>
  <r>
    <x v="245"/>
    <d v="2025-03-17T00:00:00"/>
    <x v="3"/>
    <x v="2"/>
    <n v="20"/>
    <n v="2"/>
    <n v="40"/>
    <x v="7"/>
    <x v="5"/>
    <x v="0"/>
    <x v="0"/>
    <x v="0"/>
    <n v="2025"/>
    <x v="0"/>
    <s v="Cancelled"/>
  </r>
  <r>
    <x v="246"/>
    <d v="2025-03-30T00:00:00"/>
    <x v="6"/>
    <x v="2"/>
    <n v="40"/>
    <n v="1"/>
    <n v="40"/>
    <x v="4"/>
    <x v="3"/>
    <x v="0"/>
    <x v="0"/>
    <x v="0"/>
    <n v="2025"/>
    <x v="0"/>
    <s v="Cancelled"/>
  </r>
  <r>
    <x v="247"/>
    <d v="2025-03-05T00:00:00"/>
    <x v="3"/>
    <x v="2"/>
    <n v="20"/>
    <n v="2"/>
    <n v="40"/>
    <x v="8"/>
    <x v="2"/>
    <x v="0"/>
    <x v="0"/>
    <x v="0"/>
    <n v="2025"/>
    <x v="0"/>
    <s v="Cancelled"/>
  </r>
  <r>
    <x v="248"/>
    <d v="2025-03-08T00:00:00"/>
    <x v="2"/>
    <x v="1"/>
    <n v="150"/>
    <n v="3"/>
    <n v="450"/>
    <x v="1"/>
    <x v="0"/>
    <x v="0"/>
    <x v="0"/>
    <x v="0"/>
    <n v="2025"/>
    <x v="0"/>
    <s v="Cancelled"/>
  </r>
  <r>
    <x v="249"/>
    <d v="2025-02-19T00:00:00"/>
    <x v="4"/>
    <x v="1"/>
    <n v="500"/>
    <n v="4"/>
    <n v="2000"/>
    <x v="1"/>
    <x v="7"/>
    <x v="1"/>
    <x v="2"/>
    <x v="1"/>
    <n v="2025"/>
    <x v="1"/>
    <s v="Completed"/>
  </r>
  <r>
    <x v="250"/>
    <m/>
    <x v="10"/>
    <x v="5"/>
    <m/>
    <m/>
    <m/>
    <x v="10"/>
    <x v="10"/>
    <x v="5"/>
    <x v="3"/>
    <x v="3"/>
    <m/>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s v="Footwear"/>
    <n v="60"/>
    <n v="3"/>
    <n v="180"/>
    <s v="Emma Clark"/>
    <x v="0"/>
    <s v="Debit Card"/>
    <s v="Cancelled"/>
    <n v="3"/>
    <n v="2025"/>
    <s v="2025-03"/>
    <s v="Cancelled"/>
  </r>
  <r>
    <s v="ORD0002"/>
    <d v="2025-03-20T00:00:00"/>
    <x v="1"/>
    <s v="Electronics"/>
    <n v="100"/>
    <n v="4"/>
    <n v="400"/>
    <s v="Emily Johnson"/>
    <x v="1"/>
    <s v="Debit Card"/>
    <s v="Pending"/>
    <n v="3"/>
    <n v="2025"/>
    <s v="2025-03"/>
    <s v="Pending"/>
  </r>
  <r>
    <s v="ORD0003"/>
    <d v="2025-02-15T00:00:00"/>
    <x v="0"/>
    <s v="Footwear"/>
    <n v="60"/>
    <n v="2"/>
    <n v="120"/>
    <s v="John Doe"/>
    <x v="2"/>
    <s v="Amazon Pay"/>
    <s v="Cancelled"/>
    <n v="2"/>
    <n v="2025"/>
    <s v="2025-02"/>
    <s v="Cancelled"/>
  </r>
  <r>
    <s v="ORD0004"/>
    <d v="2025-02-19T00:00:00"/>
    <x v="0"/>
    <s v="Footwear"/>
    <n v="60"/>
    <n v="3"/>
    <n v="180"/>
    <s v="Olivia Wilson"/>
    <x v="3"/>
    <s v="Credit Card"/>
    <s v="Pending"/>
    <n v="2"/>
    <n v="2025"/>
    <s v="2025-02"/>
    <s v="Pending"/>
  </r>
  <r>
    <s v="ORD0005"/>
    <d v="2025-03-10T00:00:00"/>
    <x v="2"/>
    <s v="Electronics"/>
    <n v="150"/>
    <n v="3"/>
    <n v="450"/>
    <s v="Emma Clark"/>
    <x v="0"/>
    <s v="Debit Card"/>
    <s v="Pending"/>
    <n v="3"/>
    <n v="2025"/>
    <s v="2025-03"/>
    <s v="Pending"/>
  </r>
  <r>
    <s v="ORD0006"/>
    <d v="2025-03-14T00:00:00"/>
    <x v="3"/>
    <s v="Clothing"/>
    <n v="20"/>
    <n v="1"/>
    <n v="20"/>
    <s v="John Doe"/>
    <x v="3"/>
    <s v="Credit Card"/>
    <s v="Pending"/>
    <n v="3"/>
    <n v="2025"/>
    <s v="2025-03"/>
    <s v="Pending"/>
  </r>
  <r>
    <s v="ORD0007"/>
    <d v="2025-03-18T00:00:00"/>
    <x v="2"/>
    <s v="Electronics"/>
    <n v="150"/>
    <n v="4"/>
    <n v="600"/>
    <s v="Emma Clark"/>
    <x v="4"/>
    <s v="PayPal"/>
    <s v="Completed"/>
    <n v="3"/>
    <n v="2025"/>
    <s v="2025-03"/>
    <s v="Completed"/>
  </r>
  <r>
    <s v="ORD0008"/>
    <d v="2025-03-02T00:00:00"/>
    <x v="4"/>
    <s v="Electronics"/>
    <n v="500"/>
    <n v="1"/>
    <n v="500"/>
    <s v="Sophia Miller"/>
    <x v="5"/>
    <s v="PayPal"/>
    <s v="Completed"/>
    <n v="3"/>
    <n v="2025"/>
    <s v="2025-03"/>
    <s v="Completed"/>
  </r>
  <r>
    <s v="ORD0009"/>
    <d v="2025-03-08T00:00:00"/>
    <x v="3"/>
    <s v="Clothing"/>
    <n v="20"/>
    <n v="3"/>
    <n v="60"/>
    <s v="Sophia Miller"/>
    <x v="6"/>
    <s v="PayPal"/>
    <s v="Completed"/>
    <n v="3"/>
    <n v="2025"/>
    <s v="2025-03"/>
    <s v="Completed"/>
  </r>
  <r>
    <s v="ORD0010"/>
    <d v="2025-03-12T00:00:00"/>
    <x v="4"/>
    <s v="Electronics"/>
    <n v="500"/>
    <n v="1"/>
    <n v="500"/>
    <s v="Emily Johnson"/>
    <x v="1"/>
    <s v="Credit Card"/>
    <s v="Cancelled"/>
    <n v="3"/>
    <n v="2025"/>
    <s v="2025-03"/>
    <s v="Cancelled"/>
  </r>
  <r>
    <s v="ORD0011"/>
    <d v="2025-02-17T00:00:00"/>
    <x v="5"/>
    <s v="Books"/>
    <n v="15"/>
    <n v="2"/>
    <n v="30"/>
    <s v="David Lee"/>
    <x v="6"/>
    <s v="Amazon Pay"/>
    <s v="Pending"/>
    <n v="2"/>
    <n v="2025"/>
    <s v="2025-02"/>
    <s v="Pending"/>
  </r>
  <r>
    <s v="ORD0012"/>
    <d v="2025-03-13T00:00:00"/>
    <x v="6"/>
    <s v="Clothing"/>
    <n v="40"/>
    <n v="4"/>
    <n v="160"/>
    <s v="Michael Brown"/>
    <x v="3"/>
    <s v="Credit Card"/>
    <s v="Completed"/>
    <n v="3"/>
    <n v="2025"/>
    <s v="2025-03"/>
    <s v="Completed"/>
  </r>
  <r>
    <s v="ORD0013"/>
    <d v="2025-03-01T00:00:00"/>
    <x v="7"/>
    <s v="Electronics"/>
    <n v="800"/>
    <n v="2"/>
    <n v="1600"/>
    <s v="Daniel Harris"/>
    <x v="1"/>
    <s v="Gift Card"/>
    <s v="Pending"/>
    <n v="3"/>
    <n v="2025"/>
    <s v="2025-03"/>
    <s v="Pending"/>
  </r>
  <r>
    <s v="ORD0014"/>
    <d v="2025-03-04T00:00:00"/>
    <x v="8"/>
    <s v="Home Appliances"/>
    <n v="600"/>
    <n v="3"/>
    <n v="1800"/>
    <s v="Michael Brown"/>
    <x v="5"/>
    <s v="Credit Card"/>
    <s v="Cancelled"/>
    <n v="3"/>
    <n v="2025"/>
    <s v="2025-03"/>
    <s v="Cancelled"/>
  </r>
  <r>
    <s v="ORD0015"/>
    <d v="2025-02-20T00:00:00"/>
    <x v="2"/>
    <s v="Electronics"/>
    <n v="150"/>
    <n v="4"/>
    <n v="600"/>
    <s v="John Doe"/>
    <x v="7"/>
    <s v="Credit Card"/>
    <s v="Completed"/>
    <n v="2"/>
    <n v="2025"/>
    <s v="2025-02"/>
    <s v="Completed"/>
  </r>
  <r>
    <s v="ORD0016"/>
    <d v="2025-02-26T00:00:00"/>
    <x v="9"/>
    <s v="Home Appliances"/>
    <n v="1200"/>
    <n v="1"/>
    <n v="1200"/>
    <s v="John Doe"/>
    <x v="6"/>
    <s v="Credit Card"/>
    <s v="Cancelled"/>
    <n v="2"/>
    <n v="2025"/>
    <s v="2025-02"/>
    <s v="Cancelled"/>
  </r>
  <r>
    <s v="ORD0017"/>
    <d v="2025-04-01T00:00:00"/>
    <x v="3"/>
    <s v="Clothing"/>
    <n v="20"/>
    <n v="1"/>
    <n v="20"/>
    <s v="Emma Clark"/>
    <x v="0"/>
    <s v="Amazon Pay"/>
    <s v="Completed"/>
    <n v="4"/>
    <n v="2025"/>
    <s v="2025-04"/>
    <s v="Completed"/>
  </r>
  <r>
    <s v="ORD0018"/>
    <d v="2025-02-10T00:00:00"/>
    <x v="4"/>
    <s v="Electronics"/>
    <n v="500"/>
    <n v="2"/>
    <n v="1000"/>
    <s v="Michael Brown"/>
    <x v="8"/>
    <s v="Amazon Pay"/>
    <s v="Completed"/>
    <n v="2"/>
    <n v="2025"/>
    <s v="2025-02"/>
    <s v="Completed"/>
  </r>
  <r>
    <s v="ORD0019"/>
    <d v="2025-03-22T00:00:00"/>
    <x v="0"/>
    <s v="Footwear"/>
    <n v="60"/>
    <n v="3"/>
    <n v="180"/>
    <s v="Olivia Wilson"/>
    <x v="4"/>
    <s v="Credit Card"/>
    <s v="Completed"/>
    <n v="3"/>
    <n v="2025"/>
    <s v="2025-03"/>
    <s v="Completed"/>
  </r>
  <r>
    <s v="ORD0020"/>
    <d v="2025-03-07T00:00:00"/>
    <x v="1"/>
    <s v="Electronics"/>
    <n v="100"/>
    <n v="4"/>
    <n v="400"/>
    <s v="Olivia Wilson"/>
    <x v="7"/>
    <s v="Debit Card"/>
    <s v="Pending"/>
    <n v="3"/>
    <n v="2025"/>
    <s v="2025-03"/>
    <s v="Pending"/>
  </r>
  <r>
    <s v="ORD0021"/>
    <d v="2025-02-05T00:00:00"/>
    <x v="1"/>
    <s v="Electronics"/>
    <n v="100"/>
    <n v="3"/>
    <n v="300"/>
    <s v="Chris White"/>
    <x v="5"/>
    <s v="Debit Card"/>
    <s v="Cancelled"/>
    <n v="2"/>
    <n v="2025"/>
    <s v="2025-02"/>
    <s v="Cancelled"/>
  </r>
  <r>
    <s v="ORD0022"/>
    <d v="2025-03-07T00:00:00"/>
    <x v="9"/>
    <s v="Home Appliances"/>
    <n v="1200"/>
    <n v="4"/>
    <n v="4800"/>
    <s v="Olivia Wilson"/>
    <x v="4"/>
    <s v="Credit Card"/>
    <s v="Pending"/>
    <n v="3"/>
    <n v="2025"/>
    <s v="2025-03"/>
    <s v="Pending"/>
  </r>
  <r>
    <s v="ORD0023"/>
    <d v="2025-02-23T00:00:00"/>
    <x v="5"/>
    <s v="Books"/>
    <n v="15"/>
    <n v="1"/>
    <n v="15"/>
    <s v="Emma Clark"/>
    <x v="4"/>
    <s v="Credit Card"/>
    <s v="Pending"/>
    <n v="2"/>
    <n v="2025"/>
    <s v="2025-02"/>
    <s v="Pending"/>
  </r>
  <r>
    <s v="ORD0024"/>
    <d v="2025-03-24T00:00:00"/>
    <x v="9"/>
    <s v="Home Appliances"/>
    <n v="1200"/>
    <n v="3"/>
    <n v="3600"/>
    <s v="Chris White"/>
    <x v="3"/>
    <s v="Credit Card"/>
    <s v="Cancelled"/>
    <n v="3"/>
    <n v="2025"/>
    <s v="2025-03"/>
    <s v="Cancelled"/>
  </r>
  <r>
    <s v="ORD0025"/>
    <d v="2025-03-02T00:00:00"/>
    <x v="5"/>
    <s v="Books"/>
    <n v="15"/>
    <n v="5"/>
    <n v="75"/>
    <s v="Sophia Miller"/>
    <x v="7"/>
    <s v="Amazon Pay"/>
    <s v="Completed"/>
    <n v="3"/>
    <n v="2025"/>
    <s v="2025-03"/>
    <s v="Completed"/>
  </r>
  <r>
    <s v="ORD0026"/>
    <d v="2025-02-14T00:00:00"/>
    <x v="8"/>
    <s v="Home Appliances"/>
    <n v="600"/>
    <n v="1"/>
    <n v="600"/>
    <s v="Olivia Wilson"/>
    <x v="6"/>
    <s v="Debit Card"/>
    <s v="Cancelled"/>
    <n v="2"/>
    <n v="2025"/>
    <s v="2025-02"/>
    <s v="Cancelled"/>
  </r>
  <r>
    <s v="ORD0027"/>
    <d v="2025-02-07T00:00:00"/>
    <x v="3"/>
    <s v="Clothing"/>
    <n v="20"/>
    <n v="1"/>
    <n v="20"/>
    <s v="Daniel Harris"/>
    <x v="0"/>
    <s v="Amazon Pay"/>
    <s v="Pending"/>
    <n v="2"/>
    <n v="2025"/>
    <s v="2025-02"/>
    <s v="Pending"/>
  </r>
  <r>
    <s v="ORD0028"/>
    <d v="2025-02-03T00:00:00"/>
    <x v="1"/>
    <s v="Electronics"/>
    <n v="100"/>
    <n v="1"/>
    <n v="100"/>
    <s v="Jane Smith"/>
    <x v="9"/>
    <s v="Amazon Pay"/>
    <s v="Completed"/>
    <n v="2"/>
    <n v="2025"/>
    <s v="2025-02"/>
    <s v="Completed"/>
  </r>
  <r>
    <s v="ORD0029"/>
    <d v="2025-02-12T00:00:00"/>
    <x v="4"/>
    <s v="Electronics"/>
    <n v="500"/>
    <n v="1"/>
    <n v="500"/>
    <s v="Sophia Miller"/>
    <x v="2"/>
    <s v="Credit Card"/>
    <s v="Cancelled"/>
    <n v="2"/>
    <n v="2025"/>
    <s v="2025-02"/>
    <s v="Cancelled"/>
  </r>
  <r>
    <s v="ORD0030"/>
    <d v="2025-02-10T00:00:00"/>
    <x v="8"/>
    <s v="Home Appliances"/>
    <n v="600"/>
    <n v="3"/>
    <n v="1800"/>
    <s v="Emily Johnson"/>
    <x v="3"/>
    <s v="Gift Card"/>
    <s v="Cancelled"/>
    <n v="2"/>
    <n v="2025"/>
    <s v="2025-02"/>
    <s v="Cancelled"/>
  </r>
  <r>
    <s v="ORD0031"/>
    <d v="2025-03-24T00:00:00"/>
    <x v="4"/>
    <s v="Electronics"/>
    <n v="500"/>
    <n v="1"/>
    <n v="500"/>
    <s v="John Doe"/>
    <x v="4"/>
    <s v="Gift Card"/>
    <s v="Pending"/>
    <n v="3"/>
    <n v="2025"/>
    <s v="2025-03"/>
    <s v="Pending"/>
  </r>
  <r>
    <s v="ORD0032"/>
    <d v="2025-03-10T00:00:00"/>
    <x v="4"/>
    <s v="Electronics"/>
    <n v="500"/>
    <n v="4"/>
    <n v="2000"/>
    <s v="Michael Brown"/>
    <x v="7"/>
    <s v="PayPal"/>
    <s v="Pending"/>
    <n v="3"/>
    <n v="2025"/>
    <s v="2025-03"/>
    <s v="Pending"/>
  </r>
  <r>
    <s v="ORD0033"/>
    <d v="2025-02-04T00:00:00"/>
    <x v="5"/>
    <s v="Books"/>
    <n v="15"/>
    <n v="1"/>
    <n v="15"/>
    <s v="Olivia Wilson"/>
    <x v="0"/>
    <s v="Debit Card"/>
    <s v="Cancelled"/>
    <n v="2"/>
    <n v="2025"/>
    <s v="2025-02"/>
    <s v="Cancelled"/>
  </r>
  <r>
    <s v="ORD0034"/>
    <d v="2025-04-02T00:00:00"/>
    <x v="3"/>
    <s v="Clothing"/>
    <n v="20"/>
    <n v="5"/>
    <n v="100"/>
    <s v="Jane Smith"/>
    <x v="0"/>
    <s v="Credit Card"/>
    <s v="Pending"/>
    <n v="4"/>
    <n v="2025"/>
    <s v="2025-04"/>
    <s v="Pending"/>
  </r>
  <r>
    <s v="ORD0035"/>
    <d v="2025-04-02T00:00:00"/>
    <x v="7"/>
    <s v="Electronics"/>
    <n v="800"/>
    <n v="3"/>
    <n v="2400"/>
    <s v="Emma Clark"/>
    <x v="2"/>
    <s v="Amazon Pay"/>
    <s v="Completed"/>
    <n v="4"/>
    <n v="2025"/>
    <s v="2025-04"/>
    <s v="Completed"/>
  </r>
  <r>
    <s v="ORD0036"/>
    <d v="2025-02-09T00:00:00"/>
    <x v="9"/>
    <s v="Home Appliances"/>
    <n v="1200"/>
    <n v="2"/>
    <n v="2400"/>
    <s v="Sophia Miller"/>
    <x v="6"/>
    <s v="PayPal"/>
    <s v="Cancelled"/>
    <n v="2"/>
    <n v="2025"/>
    <s v="2025-02"/>
    <s v="Cancelled"/>
  </r>
  <r>
    <s v="ORD0037"/>
    <d v="2025-02-16T00:00:00"/>
    <x v="1"/>
    <s v="Electronics"/>
    <n v="100"/>
    <n v="3"/>
    <n v="300"/>
    <s v="Michael Brown"/>
    <x v="0"/>
    <s v="Debit Card"/>
    <s v="Cancelled"/>
    <n v="2"/>
    <n v="2025"/>
    <s v="2025-02"/>
    <s v="Cancelled"/>
  </r>
  <r>
    <s v="ORD0038"/>
    <d v="2025-03-26T00:00:00"/>
    <x v="7"/>
    <s v="Electronics"/>
    <n v="800"/>
    <n v="3"/>
    <n v="2400"/>
    <s v="Olivia Wilson"/>
    <x v="9"/>
    <s v="Amazon Pay"/>
    <s v="Completed"/>
    <n v="3"/>
    <n v="2025"/>
    <s v="2025-03"/>
    <s v="Completed"/>
  </r>
  <r>
    <s v="ORD0039"/>
    <d v="2025-03-02T00:00:00"/>
    <x v="7"/>
    <s v="Electronics"/>
    <n v="800"/>
    <n v="2"/>
    <n v="1600"/>
    <s v="Olivia Wilson"/>
    <x v="1"/>
    <s v="PayPal"/>
    <s v="Completed"/>
    <n v="3"/>
    <n v="2025"/>
    <s v="2025-03"/>
    <s v="Completed"/>
  </r>
  <r>
    <s v="ORD0040"/>
    <d v="2025-03-26T00:00:00"/>
    <x v="2"/>
    <s v="Electronics"/>
    <n v="150"/>
    <n v="1"/>
    <n v="150"/>
    <s v="Emily Johnson"/>
    <x v="7"/>
    <s v="Gift Card"/>
    <s v="Pending"/>
    <n v="3"/>
    <n v="2025"/>
    <s v="2025-03"/>
    <s v="Pending"/>
  </r>
  <r>
    <s v="ORD0041"/>
    <d v="2025-02-20T00:00:00"/>
    <x v="5"/>
    <s v="Books"/>
    <n v="15"/>
    <n v="1"/>
    <n v="15"/>
    <s v="Jane Smith"/>
    <x v="5"/>
    <s v="Credit Card"/>
    <s v="Cancelled"/>
    <n v="2"/>
    <n v="2025"/>
    <s v="2025-02"/>
    <s v="Cancelled"/>
  </r>
  <r>
    <s v="ORD0042"/>
    <d v="2025-03-17T00:00:00"/>
    <x v="1"/>
    <s v="Electronics"/>
    <n v="100"/>
    <n v="3"/>
    <n v="300"/>
    <s v="Jane Smith"/>
    <x v="9"/>
    <s v="Amazon Pay"/>
    <s v="Cancelled"/>
    <n v="3"/>
    <n v="2025"/>
    <s v="2025-03"/>
    <s v="Cancelled"/>
  </r>
  <r>
    <s v="ORD0043"/>
    <d v="2025-02-08T00:00:00"/>
    <x v="3"/>
    <s v="Clothing"/>
    <n v="20"/>
    <n v="4"/>
    <n v="80"/>
    <s v="Jane Smith"/>
    <x v="2"/>
    <s v="Credit Card"/>
    <s v="Pending"/>
    <n v="2"/>
    <n v="2025"/>
    <s v="2025-02"/>
    <s v="Pending"/>
  </r>
  <r>
    <s v="ORD0044"/>
    <d v="2025-03-24T00:00:00"/>
    <x v="2"/>
    <s v="Electronics"/>
    <n v="150"/>
    <n v="1"/>
    <n v="150"/>
    <s v="Chris White"/>
    <x v="4"/>
    <s v="Debit Card"/>
    <s v="Pending"/>
    <n v="3"/>
    <n v="2025"/>
    <s v="2025-03"/>
    <s v="Pending"/>
  </r>
  <r>
    <s v="ORD0045"/>
    <d v="2025-03-15T00:00:00"/>
    <x v="9"/>
    <s v="Home Appliances"/>
    <n v="1200"/>
    <n v="3"/>
    <n v="3600"/>
    <s v="Daniel Harris"/>
    <x v="0"/>
    <s v="Credit Card"/>
    <s v="Pending"/>
    <n v="3"/>
    <n v="2025"/>
    <s v="2025-03"/>
    <s v="Pending"/>
  </r>
  <r>
    <s v="ORD0046"/>
    <d v="2025-03-06T00:00:00"/>
    <x v="0"/>
    <s v="Footwear"/>
    <n v="60"/>
    <n v="2"/>
    <n v="120"/>
    <s v="David Lee"/>
    <x v="4"/>
    <s v="Debit Card"/>
    <s v="Cancelled"/>
    <n v="3"/>
    <n v="2025"/>
    <s v="2025-03"/>
    <s v="Cancelled"/>
  </r>
  <r>
    <s v="ORD0047"/>
    <d v="2025-03-26T00:00:00"/>
    <x v="3"/>
    <s v="Clothing"/>
    <n v="20"/>
    <n v="2"/>
    <n v="40"/>
    <s v="Chris White"/>
    <x v="5"/>
    <s v="Gift Card"/>
    <s v="Cancelled"/>
    <n v="3"/>
    <n v="2025"/>
    <s v="2025-03"/>
    <s v="Cancelled"/>
  </r>
  <r>
    <s v="ORD0048"/>
    <d v="2025-02-11T00:00:00"/>
    <x v="3"/>
    <s v="Clothing"/>
    <n v="20"/>
    <n v="5"/>
    <n v="100"/>
    <s v="Jane Smith"/>
    <x v="2"/>
    <s v="Amazon Pay"/>
    <s v="Completed"/>
    <n v="2"/>
    <n v="2025"/>
    <s v="2025-02"/>
    <s v="Completed"/>
  </r>
  <r>
    <s v="ORD0049"/>
    <d v="2025-02-18T00:00:00"/>
    <x v="4"/>
    <s v="Electronics"/>
    <n v="500"/>
    <n v="4"/>
    <n v="2000"/>
    <s v="Emma Clark"/>
    <x v="9"/>
    <s v="Debit Card"/>
    <s v="Completed"/>
    <n v="2"/>
    <n v="2025"/>
    <s v="2025-02"/>
    <s v="Completed"/>
  </r>
  <r>
    <s v="ORD0050"/>
    <d v="2025-03-14T00:00:00"/>
    <x v="6"/>
    <s v="Clothing"/>
    <n v="40"/>
    <n v="3"/>
    <n v="120"/>
    <s v="John Doe"/>
    <x v="6"/>
    <s v="Gift Card"/>
    <s v="Completed"/>
    <n v="3"/>
    <n v="2025"/>
    <s v="2025-03"/>
    <s v="Completed"/>
  </r>
  <r>
    <s v="ORD0051"/>
    <d v="2025-02-19T00:00:00"/>
    <x v="5"/>
    <s v="Books"/>
    <n v="15"/>
    <n v="1"/>
    <n v="15"/>
    <s v="Emma Clark"/>
    <x v="4"/>
    <s v="Gift Card"/>
    <s v="Cancelled"/>
    <n v="2"/>
    <n v="2025"/>
    <s v="2025-02"/>
    <s v="Cancelled"/>
  </r>
  <r>
    <s v="ORD0052"/>
    <d v="2025-02-24T00:00:00"/>
    <x v="7"/>
    <s v="Electronics"/>
    <n v="800"/>
    <n v="3"/>
    <n v="2400"/>
    <s v="John Doe"/>
    <x v="1"/>
    <s v="Credit Card"/>
    <s v="Pending"/>
    <n v="2"/>
    <n v="2025"/>
    <s v="2025-02"/>
    <s v="Pending"/>
  </r>
  <r>
    <s v="ORD0053"/>
    <d v="2025-03-24T00:00:00"/>
    <x v="0"/>
    <s v="Footwear"/>
    <n v="60"/>
    <n v="4"/>
    <n v="240"/>
    <s v="Emily Johnson"/>
    <x v="8"/>
    <s v="PayPal"/>
    <s v="Completed"/>
    <n v="3"/>
    <n v="2025"/>
    <s v="2025-03"/>
    <s v="Completed"/>
  </r>
  <r>
    <s v="ORD0054"/>
    <d v="2025-03-15T00:00:00"/>
    <x v="2"/>
    <s v="Electronics"/>
    <n v="150"/>
    <n v="3"/>
    <n v="450"/>
    <s v="David Lee"/>
    <x v="6"/>
    <s v="Gift Card"/>
    <s v="Pending"/>
    <n v="3"/>
    <n v="2025"/>
    <s v="2025-03"/>
    <s v="Pending"/>
  </r>
  <r>
    <s v="ORD0055"/>
    <d v="2025-03-15T00:00:00"/>
    <x v="6"/>
    <s v="Clothing"/>
    <n v="40"/>
    <n v="2"/>
    <n v="80"/>
    <s v="Sophia Miller"/>
    <x v="3"/>
    <s v="PayPal"/>
    <s v="Completed"/>
    <n v="3"/>
    <n v="2025"/>
    <s v="2025-03"/>
    <s v="Completed"/>
  </r>
  <r>
    <s v="ORD0056"/>
    <d v="2025-03-19T00:00:00"/>
    <x v="2"/>
    <s v="Electronics"/>
    <n v="150"/>
    <n v="2"/>
    <n v="300"/>
    <s v="Emma Clark"/>
    <x v="3"/>
    <s v="Credit Card"/>
    <s v="Completed"/>
    <n v="3"/>
    <n v="2025"/>
    <s v="2025-03"/>
    <s v="Completed"/>
  </r>
  <r>
    <s v="ORD0057"/>
    <d v="2025-03-15T00:00:00"/>
    <x v="4"/>
    <s v="Electronics"/>
    <n v="500"/>
    <n v="1"/>
    <n v="500"/>
    <s v="Jane Smith"/>
    <x v="8"/>
    <s v="Debit Card"/>
    <s v="Cancelled"/>
    <n v="3"/>
    <n v="2025"/>
    <s v="2025-03"/>
    <s v="Cancelled"/>
  </r>
  <r>
    <s v="ORD0058"/>
    <d v="2025-03-13T00:00:00"/>
    <x v="4"/>
    <s v="Electronics"/>
    <n v="500"/>
    <n v="1"/>
    <n v="500"/>
    <s v="Jane Smith"/>
    <x v="9"/>
    <s v="PayPal"/>
    <s v="Cancelled"/>
    <n v="3"/>
    <n v="2025"/>
    <s v="2025-03"/>
    <s v="Cancelled"/>
  </r>
  <r>
    <s v="ORD0059"/>
    <d v="2025-04-01T00:00:00"/>
    <x v="2"/>
    <s v="Electronics"/>
    <n v="150"/>
    <n v="2"/>
    <n v="300"/>
    <s v="Daniel Harris"/>
    <x v="3"/>
    <s v="Credit Card"/>
    <s v="Cancelled"/>
    <n v="4"/>
    <n v="2025"/>
    <s v="2025-04"/>
    <s v="Cancelled"/>
  </r>
  <r>
    <s v="ORD0060"/>
    <d v="2025-03-12T00:00:00"/>
    <x v="5"/>
    <s v="Books"/>
    <n v="15"/>
    <n v="5"/>
    <n v="75"/>
    <s v="Jane Smith"/>
    <x v="3"/>
    <s v="Credit Card"/>
    <s v="Pending"/>
    <n v="3"/>
    <n v="2025"/>
    <s v="2025-03"/>
    <s v="Pending"/>
  </r>
  <r>
    <s v="ORD0061"/>
    <d v="2025-03-11T00:00:00"/>
    <x v="9"/>
    <s v="Home Appliances"/>
    <n v="1200"/>
    <n v="1"/>
    <n v="1200"/>
    <s v="Jane Smith"/>
    <x v="0"/>
    <s v="PayPal"/>
    <s v="Cancelled"/>
    <n v="3"/>
    <n v="2025"/>
    <s v="2025-03"/>
    <s v="Cancelled"/>
  </r>
  <r>
    <s v="ORD0062"/>
    <d v="2025-02-10T00:00:00"/>
    <x v="7"/>
    <s v="Electronics"/>
    <n v="800"/>
    <n v="5"/>
    <n v="4000"/>
    <s v="Olivia Wilson"/>
    <x v="1"/>
    <s v="PayPal"/>
    <s v="Completed"/>
    <n v="2"/>
    <n v="2025"/>
    <s v="2025-02"/>
    <s v="Completed"/>
  </r>
  <r>
    <s v="ORD0063"/>
    <d v="2025-03-30T00:00:00"/>
    <x v="4"/>
    <s v="Electronics"/>
    <n v="500"/>
    <n v="5"/>
    <n v="2500"/>
    <s v="Emma Clark"/>
    <x v="5"/>
    <s v="Gift Card"/>
    <s v="Completed"/>
    <n v="3"/>
    <n v="2025"/>
    <s v="2025-03"/>
    <s v="Completed"/>
  </r>
  <r>
    <s v="ORD0064"/>
    <d v="2025-02-13T00:00:00"/>
    <x v="9"/>
    <s v="Home Appliances"/>
    <n v="1200"/>
    <n v="4"/>
    <n v="4800"/>
    <s v="Emily Johnson"/>
    <x v="2"/>
    <s v="PayPal"/>
    <s v="Pending"/>
    <n v="2"/>
    <n v="2025"/>
    <s v="2025-02"/>
    <s v="Pending"/>
  </r>
  <r>
    <s v="ORD0065"/>
    <d v="2025-03-16T00:00:00"/>
    <x v="5"/>
    <s v="Books"/>
    <n v="15"/>
    <n v="3"/>
    <n v="45"/>
    <s v="Emma Clark"/>
    <x v="1"/>
    <s v="Amazon Pay"/>
    <s v="Pending"/>
    <n v="3"/>
    <n v="2025"/>
    <s v="2025-03"/>
    <s v="Pending"/>
  </r>
  <r>
    <s v="ORD0066"/>
    <d v="2025-03-14T00:00:00"/>
    <x v="2"/>
    <s v="Electronics"/>
    <n v="150"/>
    <n v="2"/>
    <n v="300"/>
    <s v="Michael Brown"/>
    <x v="2"/>
    <s v="PayPal"/>
    <s v="Pending"/>
    <n v="3"/>
    <n v="2025"/>
    <s v="2025-03"/>
    <s v="Pending"/>
  </r>
  <r>
    <s v="ORD0067"/>
    <d v="2025-03-31T00:00:00"/>
    <x v="1"/>
    <s v="Electronics"/>
    <n v="100"/>
    <n v="3"/>
    <n v="300"/>
    <s v="Chris White"/>
    <x v="0"/>
    <s v="Debit Card"/>
    <s v="Pending"/>
    <n v="3"/>
    <n v="2025"/>
    <s v="2025-03"/>
    <s v="Pending"/>
  </r>
  <r>
    <s v="ORD0068"/>
    <d v="2025-02-23T00:00:00"/>
    <x v="1"/>
    <s v="Electronics"/>
    <n v="100"/>
    <n v="1"/>
    <n v="100"/>
    <s v="David Lee"/>
    <x v="4"/>
    <s v="Debit Card"/>
    <s v="Cancelled"/>
    <n v="2"/>
    <n v="2025"/>
    <s v="2025-02"/>
    <s v="Cancelled"/>
  </r>
  <r>
    <s v="ORD0069"/>
    <d v="2025-02-25T00:00:00"/>
    <x v="9"/>
    <s v="Home Appliances"/>
    <n v="1200"/>
    <n v="4"/>
    <n v="4800"/>
    <s v="David Lee"/>
    <x v="6"/>
    <s v="Gift Card"/>
    <s v="Pending"/>
    <n v="2"/>
    <n v="2025"/>
    <s v="2025-02"/>
    <s v="Pending"/>
  </r>
  <r>
    <s v="ORD0070"/>
    <d v="2025-03-10T00:00:00"/>
    <x v="5"/>
    <s v="Books"/>
    <n v="15"/>
    <n v="1"/>
    <n v="15"/>
    <s v="Emily Johnson"/>
    <x v="6"/>
    <s v="Credit Card"/>
    <s v="Completed"/>
    <n v="3"/>
    <n v="2025"/>
    <s v="2025-03"/>
    <s v="Completed"/>
  </r>
  <r>
    <s v="ORD0071"/>
    <d v="2025-03-16T00:00:00"/>
    <x v="2"/>
    <s v="Electronics"/>
    <n v="150"/>
    <n v="5"/>
    <n v="750"/>
    <s v="John Doe"/>
    <x v="2"/>
    <s v="Credit Card"/>
    <s v="Pending"/>
    <n v="3"/>
    <n v="2025"/>
    <s v="2025-03"/>
    <s v="Pending"/>
  </r>
  <r>
    <s v="ORD0072"/>
    <d v="2025-03-07T00:00:00"/>
    <x v="7"/>
    <s v="Electronics"/>
    <n v="800"/>
    <n v="3"/>
    <n v="2400"/>
    <s v="Daniel Harris"/>
    <x v="4"/>
    <s v="Credit Card"/>
    <s v="Pending"/>
    <n v="3"/>
    <n v="2025"/>
    <s v="2025-03"/>
    <s v="Pending"/>
  </r>
  <r>
    <s v="ORD0073"/>
    <d v="2025-02-20T00:00:00"/>
    <x v="4"/>
    <s v="Electronics"/>
    <n v="500"/>
    <n v="5"/>
    <n v="2500"/>
    <s v="Emily Johnson"/>
    <x v="5"/>
    <s v="Credit Card"/>
    <s v="Cancelled"/>
    <n v="2"/>
    <n v="2025"/>
    <s v="2025-02"/>
    <s v="Cancelled"/>
  </r>
  <r>
    <s v="ORD0074"/>
    <d v="2025-03-25T00:00:00"/>
    <x v="9"/>
    <s v="Home Appliances"/>
    <n v="1200"/>
    <n v="4"/>
    <n v="4800"/>
    <s v="Jane Smith"/>
    <x v="3"/>
    <s v="Gift Card"/>
    <s v="Cancelled"/>
    <n v="3"/>
    <n v="2025"/>
    <s v="2025-03"/>
    <s v="Cancelled"/>
  </r>
  <r>
    <s v="ORD0075"/>
    <d v="2025-02-26T00:00:00"/>
    <x v="1"/>
    <s v="Electronics"/>
    <n v="100"/>
    <n v="2"/>
    <n v="200"/>
    <s v="Daniel Harris"/>
    <x v="6"/>
    <s v="PayPal"/>
    <s v="Pending"/>
    <n v="2"/>
    <n v="2025"/>
    <s v="2025-02"/>
    <s v="Pending"/>
  </r>
  <r>
    <s v="ORD0076"/>
    <d v="2025-02-24T00:00:00"/>
    <x v="8"/>
    <s v="Home Appliances"/>
    <n v="600"/>
    <n v="1"/>
    <n v="600"/>
    <s v="Jane Smith"/>
    <x v="3"/>
    <s v="Amazon Pay"/>
    <s v="Completed"/>
    <n v="2"/>
    <n v="2025"/>
    <s v="2025-02"/>
    <s v="Completed"/>
  </r>
  <r>
    <s v="ORD0077"/>
    <d v="2025-03-20T00:00:00"/>
    <x v="1"/>
    <s v="Electronics"/>
    <n v="100"/>
    <n v="2"/>
    <n v="200"/>
    <s v="Daniel Harris"/>
    <x v="4"/>
    <s v="Credit Card"/>
    <s v="Completed"/>
    <n v="3"/>
    <n v="2025"/>
    <s v="2025-03"/>
    <s v="Completed"/>
  </r>
  <r>
    <s v="ORD0078"/>
    <d v="2025-03-18T00:00:00"/>
    <x v="2"/>
    <s v="Electronics"/>
    <n v="150"/>
    <n v="2"/>
    <n v="300"/>
    <s v="Emma Clark"/>
    <x v="8"/>
    <s v="Gift Card"/>
    <s v="Cancelled"/>
    <n v="3"/>
    <n v="2025"/>
    <s v="2025-03"/>
    <s v="Cancelled"/>
  </r>
  <r>
    <s v="ORD0079"/>
    <d v="2025-03-09T00:00:00"/>
    <x v="0"/>
    <s v="Footwear"/>
    <n v="60"/>
    <n v="2"/>
    <n v="120"/>
    <s v="Emily Johnson"/>
    <x v="2"/>
    <s v="Gift Card"/>
    <s v="Cancelled"/>
    <n v="3"/>
    <n v="2025"/>
    <s v="2025-03"/>
    <s v="Cancelled"/>
  </r>
  <r>
    <s v="ORD0080"/>
    <d v="2025-02-23T00:00:00"/>
    <x v="0"/>
    <s v="Footwear"/>
    <n v="60"/>
    <n v="4"/>
    <n v="240"/>
    <s v="Sophia Miller"/>
    <x v="1"/>
    <s v="Debit Card"/>
    <s v="Pending"/>
    <n v="2"/>
    <n v="2025"/>
    <s v="2025-02"/>
    <s v="Pending"/>
  </r>
  <r>
    <s v="ORD0081"/>
    <d v="2025-02-26T00:00:00"/>
    <x v="1"/>
    <s v="Electronics"/>
    <n v="100"/>
    <n v="3"/>
    <n v="300"/>
    <s v="Michael Brown"/>
    <x v="9"/>
    <s v="PayPal"/>
    <s v="Cancelled"/>
    <n v="2"/>
    <n v="2025"/>
    <s v="2025-02"/>
    <s v="Cancelled"/>
  </r>
  <r>
    <s v="ORD0082"/>
    <d v="2025-02-24T00:00:00"/>
    <x v="4"/>
    <s v="Electronics"/>
    <n v="500"/>
    <n v="3"/>
    <n v="1500"/>
    <s v="Jane Smith"/>
    <x v="7"/>
    <s v="Debit Card"/>
    <s v="Cancelled"/>
    <n v="2"/>
    <n v="2025"/>
    <s v="2025-02"/>
    <s v="Cancelled"/>
  </r>
  <r>
    <s v="ORD0083"/>
    <d v="2025-02-28T00:00:00"/>
    <x v="8"/>
    <s v="Home Appliances"/>
    <n v="600"/>
    <n v="4"/>
    <n v="2400"/>
    <s v="Emma Clark"/>
    <x v="4"/>
    <s v="Gift Card"/>
    <s v="Cancelled"/>
    <n v="2"/>
    <n v="2025"/>
    <s v="2025-02"/>
    <s v="Cancelled"/>
  </r>
  <r>
    <s v="ORD0084"/>
    <d v="2025-02-14T00:00:00"/>
    <x v="3"/>
    <s v="Clothing"/>
    <n v="20"/>
    <n v="5"/>
    <n v="100"/>
    <s v="Olivia Wilson"/>
    <x v="6"/>
    <s v="PayPal"/>
    <s v="Completed"/>
    <n v="2"/>
    <n v="2025"/>
    <s v="2025-02"/>
    <s v="Completed"/>
  </r>
  <r>
    <s v="ORD0085"/>
    <d v="2025-02-06T00:00:00"/>
    <x v="4"/>
    <s v="Electronics"/>
    <n v="500"/>
    <n v="5"/>
    <n v="2500"/>
    <s v="Michael Brown"/>
    <x v="4"/>
    <s v="PayPal"/>
    <s v="Completed"/>
    <n v="2"/>
    <n v="2025"/>
    <s v="2025-02"/>
    <s v="Completed"/>
  </r>
  <r>
    <s v="ORD0086"/>
    <d v="2025-02-25T00:00:00"/>
    <x v="2"/>
    <s v="Electronics"/>
    <n v="150"/>
    <n v="5"/>
    <n v="750"/>
    <s v="Jane Smith"/>
    <x v="3"/>
    <s v="PayPal"/>
    <s v="Cancelled"/>
    <n v="2"/>
    <n v="2025"/>
    <s v="2025-02"/>
    <s v="Cancelled"/>
  </r>
  <r>
    <s v="ORD0087"/>
    <d v="2025-03-13T00:00:00"/>
    <x v="0"/>
    <s v="Footwear"/>
    <n v="60"/>
    <n v="5"/>
    <n v="300"/>
    <s v="Emma Clark"/>
    <x v="5"/>
    <s v="Debit Card"/>
    <s v="Completed"/>
    <n v="3"/>
    <n v="2025"/>
    <s v="2025-03"/>
    <s v="Completed"/>
  </r>
  <r>
    <s v="ORD0088"/>
    <d v="2025-02-06T00:00:00"/>
    <x v="9"/>
    <s v="Home Appliances"/>
    <n v="1200"/>
    <n v="2"/>
    <n v="2400"/>
    <s v="Chris White"/>
    <x v="7"/>
    <s v="Debit Card"/>
    <s v="Pending"/>
    <n v="2"/>
    <n v="2025"/>
    <s v="2025-02"/>
    <s v="Pending"/>
  </r>
  <r>
    <s v="ORD0089"/>
    <d v="2025-03-26T00:00:00"/>
    <x v="0"/>
    <s v="Footwear"/>
    <n v="60"/>
    <n v="5"/>
    <n v="300"/>
    <s v="Emma Clark"/>
    <x v="8"/>
    <s v="Credit Card"/>
    <s v="Cancelled"/>
    <n v="3"/>
    <n v="2025"/>
    <s v="2025-03"/>
    <s v="Cancelled"/>
  </r>
  <r>
    <s v="ORD0090"/>
    <d v="2025-03-24T00:00:00"/>
    <x v="2"/>
    <s v="Electronics"/>
    <n v="150"/>
    <n v="5"/>
    <n v="750"/>
    <s v="Emily Johnson"/>
    <x v="4"/>
    <s v="Amazon Pay"/>
    <s v="Completed"/>
    <n v="3"/>
    <n v="2025"/>
    <s v="2025-03"/>
    <s v="Completed"/>
  </r>
  <r>
    <s v="ORD0091"/>
    <d v="2025-02-03T00:00:00"/>
    <x v="7"/>
    <s v="Electronics"/>
    <n v="800"/>
    <n v="4"/>
    <n v="3200"/>
    <s v="Daniel Harris"/>
    <x v="4"/>
    <s v="Gift Card"/>
    <s v="Pending"/>
    <n v="2"/>
    <n v="2025"/>
    <s v="2025-02"/>
    <s v="Pending"/>
  </r>
  <r>
    <s v="ORD0092"/>
    <d v="2025-03-15T00:00:00"/>
    <x v="4"/>
    <s v="Electronics"/>
    <n v="500"/>
    <n v="2"/>
    <n v="1000"/>
    <s v="Olivia Wilson"/>
    <x v="6"/>
    <s v="PayPal"/>
    <s v="Cancelled"/>
    <n v="3"/>
    <n v="2025"/>
    <s v="2025-03"/>
    <s v="Cancelled"/>
  </r>
  <r>
    <s v="ORD0093"/>
    <d v="2025-03-06T00:00:00"/>
    <x v="9"/>
    <s v="Home Appliances"/>
    <n v="1200"/>
    <n v="5"/>
    <n v="6000"/>
    <s v="David Lee"/>
    <x v="2"/>
    <s v="PayPal"/>
    <s v="Cancelled"/>
    <n v="3"/>
    <n v="2025"/>
    <s v="2025-03"/>
    <s v="Cancelled"/>
  </r>
  <r>
    <s v="ORD0094"/>
    <d v="2025-03-25T00:00:00"/>
    <x v="6"/>
    <s v="Clothing"/>
    <n v="40"/>
    <n v="5"/>
    <n v="200"/>
    <s v="Daniel Harris"/>
    <x v="7"/>
    <s v="Credit Card"/>
    <s v="Cancelled"/>
    <n v="3"/>
    <n v="2025"/>
    <s v="2025-03"/>
    <s v="Cancelled"/>
  </r>
  <r>
    <s v="ORD0095"/>
    <d v="2025-02-17T00:00:00"/>
    <x v="2"/>
    <s v="Electronics"/>
    <n v="150"/>
    <n v="4"/>
    <n v="600"/>
    <s v="Chris White"/>
    <x v="0"/>
    <s v="Debit Card"/>
    <s v="Cancelled"/>
    <n v="2"/>
    <n v="2025"/>
    <s v="2025-02"/>
    <s v="Cancelled"/>
  </r>
  <r>
    <s v="ORD0096"/>
    <d v="2025-03-30T00:00:00"/>
    <x v="2"/>
    <s v="Electronics"/>
    <n v="150"/>
    <n v="3"/>
    <n v="450"/>
    <s v="Jane Smith"/>
    <x v="0"/>
    <s v="Amazon Pay"/>
    <s v="Completed"/>
    <n v="3"/>
    <n v="2025"/>
    <s v="2025-03"/>
    <s v="Completed"/>
  </r>
  <r>
    <s v="ORD0097"/>
    <d v="2025-03-25T00:00:00"/>
    <x v="5"/>
    <s v="Books"/>
    <n v="15"/>
    <n v="5"/>
    <n v="75"/>
    <s v="Olivia Wilson"/>
    <x v="9"/>
    <s v="Amazon Pay"/>
    <s v="Pending"/>
    <n v="3"/>
    <n v="2025"/>
    <s v="2025-03"/>
    <s v="Pending"/>
  </r>
  <r>
    <s v="ORD0098"/>
    <d v="2025-02-14T00:00:00"/>
    <x v="2"/>
    <s v="Electronics"/>
    <n v="150"/>
    <n v="2"/>
    <n v="300"/>
    <s v="Chris White"/>
    <x v="5"/>
    <s v="PayPal"/>
    <s v="Pending"/>
    <n v="2"/>
    <n v="2025"/>
    <s v="2025-02"/>
    <s v="Pending"/>
  </r>
  <r>
    <s v="ORD0099"/>
    <d v="2025-02-18T00:00:00"/>
    <x v="8"/>
    <s v="Home Appliances"/>
    <n v="600"/>
    <n v="5"/>
    <n v="3000"/>
    <s v="Michael Brown"/>
    <x v="7"/>
    <s v="Debit Card"/>
    <s v="Completed"/>
    <n v="2"/>
    <n v="2025"/>
    <s v="2025-02"/>
    <s v="Completed"/>
  </r>
  <r>
    <s v="ORD0100"/>
    <d v="2025-02-13T00:00:00"/>
    <x v="0"/>
    <s v="Footwear"/>
    <n v="60"/>
    <n v="1"/>
    <n v="60"/>
    <s v="Jane Smith"/>
    <x v="4"/>
    <s v="Gift Card"/>
    <s v="Cancelled"/>
    <n v="2"/>
    <n v="2025"/>
    <s v="2025-02"/>
    <s v="Cancelled"/>
  </r>
  <r>
    <s v="ORD0101"/>
    <d v="2025-02-20T00:00:00"/>
    <x v="5"/>
    <s v="Books"/>
    <n v="15"/>
    <n v="5"/>
    <n v="75"/>
    <s v="John Doe"/>
    <x v="2"/>
    <s v="PayPal"/>
    <s v="Pending"/>
    <n v="2"/>
    <n v="2025"/>
    <s v="2025-02"/>
    <s v="Pending"/>
  </r>
  <r>
    <s v="ORD0102"/>
    <d v="2025-02-28T00:00:00"/>
    <x v="4"/>
    <s v="Electronics"/>
    <n v="500"/>
    <n v="2"/>
    <n v="1000"/>
    <s v="David Lee"/>
    <x v="6"/>
    <s v="PayPal"/>
    <s v="Pending"/>
    <n v="2"/>
    <n v="2025"/>
    <s v="2025-02"/>
    <s v="Pending"/>
  </r>
  <r>
    <s v="ORD0103"/>
    <d v="2025-03-14T00:00:00"/>
    <x v="3"/>
    <s v="Clothing"/>
    <n v="20"/>
    <n v="2"/>
    <n v="40"/>
    <s v="Michael Brown"/>
    <x v="9"/>
    <s v="PayPal"/>
    <s v="Pending"/>
    <n v="3"/>
    <n v="2025"/>
    <s v="2025-03"/>
    <s v="Pending"/>
  </r>
  <r>
    <s v="ORD0104"/>
    <d v="2025-02-22T00:00:00"/>
    <x v="6"/>
    <s v="Clothing"/>
    <n v="40"/>
    <n v="5"/>
    <n v="200"/>
    <s v="Jane Smith"/>
    <x v="3"/>
    <s v="Debit Card"/>
    <s v="Pending"/>
    <n v="2"/>
    <n v="2025"/>
    <s v="2025-02"/>
    <s v="Pending"/>
  </r>
  <r>
    <s v="ORD0105"/>
    <d v="2025-03-16T00:00:00"/>
    <x v="6"/>
    <s v="Clothing"/>
    <n v="40"/>
    <n v="1"/>
    <n v="40"/>
    <s v="Jane Smith"/>
    <x v="6"/>
    <s v="Debit Card"/>
    <s v="Pending"/>
    <n v="3"/>
    <n v="2025"/>
    <s v="2025-03"/>
    <s v="Pending"/>
  </r>
  <r>
    <s v="ORD0106"/>
    <d v="2025-03-15T00:00:00"/>
    <x v="3"/>
    <s v="Clothing"/>
    <n v="20"/>
    <n v="3"/>
    <n v="60"/>
    <s v="Olivia Wilson"/>
    <x v="9"/>
    <s v="PayPal"/>
    <s v="Pending"/>
    <n v="3"/>
    <n v="2025"/>
    <s v="2025-03"/>
    <s v="Pending"/>
  </r>
  <r>
    <s v="ORD0107"/>
    <d v="2025-03-19T00:00:00"/>
    <x v="6"/>
    <s v="Clothing"/>
    <n v="40"/>
    <n v="3"/>
    <n v="120"/>
    <s v="Olivia Wilson"/>
    <x v="3"/>
    <s v="Credit Card"/>
    <s v="Cancelled"/>
    <n v="3"/>
    <n v="2025"/>
    <s v="2025-03"/>
    <s v="Cancelled"/>
  </r>
  <r>
    <s v="ORD0108"/>
    <d v="2025-03-16T00:00:00"/>
    <x v="1"/>
    <s v="Electronics"/>
    <n v="100"/>
    <n v="2"/>
    <n v="200"/>
    <s v="Daniel Harris"/>
    <x v="5"/>
    <s v="PayPal"/>
    <s v="Pending"/>
    <n v="3"/>
    <n v="2025"/>
    <s v="2025-03"/>
    <s v="Pending"/>
  </r>
  <r>
    <s v="ORD0109"/>
    <d v="2025-03-17T00:00:00"/>
    <x v="6"/>
    <s v="Clothing"/>
    <n v="40"/>
    <n v="5"/>
    <n v="200"/>
    <s v="Michael Brown"/>
    <x v="0"/>
    <s v="PayPal"/>
    <s v="Completed"/>
    <n v="3"/>
    <n v="2025"/>
    <s v="2025-03"/>
    <s v="Completed"/>
  </r>
  <r>
    <s v="ORD0110"/>
    <d v="2025-02-18T00:00:00"/>
    <x v="4"/>
    <s v="Electronics"/>
    <n v="500"/>
    <n v="5"/>
    <n v="2500"/>
    <s v="Olivia Wilson"/>
    <x v="3"/>
    <s v="Amazon Pay"/>
    <s v="Pending"/>
    <n v="2"/>
    <n v="2025"/>
    <s v="2025-02"/>
    <s v="Pending"/>
  </r>
  <r>
    <s v="ORD0111"/>
    <d v="2025-03-31T00:00:00"/>
    <x v="7"/>
    <s v="Electronics"/>
    <n v="800"/>
    <n v="4"/>
    <n v="3200"/>
    <s v="Emma Clark"/>
    <x v="8"/>
    <s v="Credit Card"/>
    <s v="Completed"/>
    <n v="3"/>
    <n v="2025"/>
    <s v="2025-03"/>
    <s v="Completed"/>
  </r>
  <r>
    <s v="ORD0112"/>
    <d v="2025-03-06T00:00:00"/>
    <x v="8"/>
    <s v="Home Appliances"/>
    <n v="600"/>
    <n v="2"/>
    <n v="1200"/>
    <s v="David Lee"/>
    <x v="3"/>
    <s v="Gift Card"/>
    <s v="Cancelled"/>
    <n v="3"/>
    <n v="2025"/>
    <s v="2025-03"/>
    <s v="Cancelled"/>
  </r>
  <r>
    <s v="ORD0113"/>
    <d v="2025-03-19T00:00:00"/>
    <x v="5"/>
    <s v="Books"/>
    <n v="15"/>
    <n v="5"/>
    <n v="75"/>
    <s v="David Lee"/>
    <x v="1"/>
    <s v="Debit Card"/>
    <s v="Pending"/>
    <n v="3"/>
    <n v="2025"/>
    <s v="2025-03"/>
    <s v="Pending"/>
  </r>
  <r>
    <s v="ORD0114"/>
    <d v="2025-02-23T00:00:00"/>
    <x v="0"/>
    <s v="Footwear"/>
    <n v="60"/>
    <n v="1"/>
    <n v="60"/>
    <s v="Emma Clark"/>
    <x v="4"/>
    <s v="Credit Card"/>
    <s v="Pending"/>
    <n v="2"/>
    <n v="2025"/>
    <s v="2025-02"/>
    <s v="Pending"/>
  </r>
  <r>
    <s v="ORD0115"/>
    <d v="2025-03-21T00:00:00"/>
    <x v="0"/>
    <s v="Footwear"/>
    <n v="60"/>
    <n v="3"/>
    <n v="180"/>
    <s v="Olivia Wilson"/>
    <x v="5"/>
    <s v="Amazon Pay"/>
    <s v="Completed"/>
    <n v="3"/>
    <n v="2025"/>
    <s v="2025-03"/>
    <s v="Completed"/>
  </r>
  <r>
    <s v="ORD0116"/>
    <d v="2025-03-19T00:00:00"/>
    <x v="7"/>
    <s v="Electronics"/>
    <n v="800"/>
    <n v="4"/>
    <n v="3200"/>
    <s v="Emma Clark"/>
    <x v="8"/>
    <s v="Amazon Pay"/>
    <s v="Completed"/>
    <n v="3"/>
    <n v="2025"/>
    <s v="2025-03"/>
    <s v="Completed"/>
  </r>
  <r>
    <s v="ORD0117"/>
    <d v="2025-02-27T00:00:00"/>
    <x v="3"/>
    <s v="Clothing"/>
    <n v="20"/>
    <n v="1"/>
    <n v="20"/>
    <s v="Daniel Harris"/>
    <x v="0"/>
    <s v="Credit Card"/>
    <s v="Completed"/>
    <n v="2"/>
    <n v="2025"/>
    <s v="2025-02"/>
    <s v="Completed"/>
  </r>
  <r>
    <s v="ORD0118"/>
    <d v="2025-02-10T00:00:00"/>
    <x v="1"/>
    <s v="Electronics"/>
    <n v="100"/>
    <n v="5"/>
    <n v="500"/>
    <s v="John Doe"/>
    <x v="4"/>
    <s v="Amazon Pay"/>
    <s v="Completed"/>
    <n v="2"/>
    <n v="2025"/>
    <s v="2025-02"/>
    <s v="Completed"/>
  </r>
  <r>
    <s v="ORD0119"/>
    <d v="2025-03-16T00:00:00"/>
    <x v="4"/>
    <s v="Electronics"/>
    <n v="500"/>
    <n v="2"/>
    <n v="1000"/>
    <s v="Chris White"/>
    <x v="9"/>
    <s v="PayPal"/>
    <s v="Pending"/>
    <n v="3"/>
    <n v="2025"/>
    <s v="2025-03"/>
    <s v="Pending"/>
  </r>
  <r>
    <s v="ORD0120"/>
    <d v="2025-02-16T00:00:00"/>
    <x v="7"/>
    <s v="Electronics"/>
    <n v="800"/>
    <n v="5"/>
    <n v="4000"/>
    <s v="Emily Johnson"/>
    <x v="2"/>
    <s v="PayPal"/>
    <s v="Completed"/>
    <n v="2"/>
    <n v="2025"/>
    <s v="2025-02"/>
    <s v="Completed"/>
  </r>
  <r>
    <s v="ORD0121"/>
    <d v="2025-02-18T00:00:00"/>
    <x v="4"/>
    <s v="Electronics"/>
    <n v="500"/>
    <n v="1"/>
    <n v="500"/>
    <s v="John Doe"/>
    <x v="3"/>
    <s v="Gift Card"/>
    <s v="Pending"/>
    <n v="2"/>
    <n v="2025"/>
    <s v="2025-02"/>
    <s v="Pending"/>
  </r>
  <r>
    <s v="ORD0122"/>
    <d v="2025-03-28T00:00:00"/>
    <x v="7"/>
    <s v="Electronics"/>
    <n v="800"/>
    <n v="3"/>
    <n v="2400"/>
    <s v="John Doe"/>
    <x v="5"/>
    <s v="Credit Card"/>
    <s v="Cancelled"/>
    <n v="3"/>
    <n v="2025"/>
    <s v="2025-03"/>
    <s v="Cancelled"/>
  </r>
  <r>
    <s v="ORD0123"/>
    <d v="2025-02-23T00:00:00"/>
    <x v="5"/>
    <s v="Books"/>
    <n v="15"/>
    <n v="3"/>
    <n v="45"/>
    <s v="Chris White"/>
    <x v="6"/>
    <s v="Gift Card"/>
    <s v="Cancelled"/>
    <n v="2"/>
    <n v="2025"/>
    <s v="2025-02"/>
    <s v="Cancelled"/>
  </r>
  <r>
    <s v="ORD0124"/>
    <d v="2025-02-10T00:00:00"/>
    <x v="5"/>
    <s v="Books"/>
    <n v="15"/>
    <n v="1"/>
    <n v="15"/>
    <s v="Emma Clark"/>
    <x v="7"/>
    <s v="Gift Card"/>
    <s v="Pending"/>
    <n v="2"/>
    <n v="2025"/>
    <s v="2025-02"/>
    <s v="Pending"/>
  </r>
  <r>
    <s v="ORD0125"/>
    <d v="2025-02-23T00:00:00"/>
    <x v="4"/>
    <s v="Electronics"/>
    <n v="500"/>
    <n v="1"/>
    <n v="500"/>
    <s v="Emily Johnson"/>
    <x v="2"/>
    <s v="Amazon Pay"/>
    <s v="Completed"/>
    <n v="2"/>
    <n v="2025"/>
    <s v="2025-02"/>
    <s v="Completed"/>
  </r>
  <r>
    <s v="ORD0126"/>
    <d v="2025-02-04T00:00:00"/>
    <x v="9"/>
    <s v="Home Appliances"/>
    <n v="1200"/>
    <n v="5"/>
    <n v="6000"/>
    <s v="Olivia Wilson"/>
    <x v="9"/>
    <s v="Gift Card"/>
    <s v="Pending"/>
    <n v="2"/>
    <n v="2025"/>
    <s v="2025-02"/>
    <s v="Pending"/>
  </r>
  <r>
    <s v="ORD0127"/>
    <d v="2025-02-18T00:00:00"/>
    <x v="3"/>
    <s v="Clothing"/>
    <n v="20"/>
    <n v="3"/>
    <n v="60"/>
    <s v="Emma Clark"/>
    <x v="3"/>
    <s v="Debit Card"/>
    <s v="Completed"/>
    <n v="2"/>
    <n v="2025"/>
    <s v="2025-02"/>
    <s v="Completed"/>
  </r>
  <r>
    <s v="ORD0128"/>
    <d v="2025-03-23T00:00:00"/>
    <x v="2"/>
    <s v="Electronics"/>
    <n v="150"/>
    <n v="2"/>
    <n v="300"/>
    <s v="Emily Johnson"/>
    <x v="3"/>
    <s v="PayPal"/>
    <s v="Cancelled"/>
    <n v="3"/>
    <n v="2025"/>
    <s v="2025-03"/>
    <s v="Cancelled"/>
  </r>
  <r>
    <s v="ORD0129"/>
    <d v="2025-02-26T00:00:00"/>
    <x v="6"/>
    <s v="Clothing"/>
    <n v="40"/>
    <n v="5"/>
    <n v="200"/>
    <s v="Emily Johnson"/>
    <x v="0"/>
    <s v="Debit Card"/>
    <s v="Pending"/>
    <n v="2"/>
    <n v="2025"/>
    <s v="2025-02"/>
    <s v="Pending"/>
  </r>
  <r>
    <s v="ORD0130"/>
    <d v="2025-02-10T00:00:00"/>
    <x v="2"/>
    <s v="Electronics"/>
    <n v="150"/>
    <n v="5"/>
    <n v="750"/>
    <s v="David Lee"/>
    <x v="6"/>
    <s v="PayPal"/>
    <s v="Completed"/>
    <n v="2"/>
    <n v="2025"/>
    <s v="2025-02"/>
    <s v="Completed"/>
  </r>
  <r>
    <s v="ORD0131"/>
    <d v="2025-02-26T00:00:00"/>
    <x v="6"/>
    <s v="Clothing"/>
    <n v="40"/>
    <n v="2"/>
    <n v="80"/>
    <s v="Daniel Harris"/>
    <x v="9"/>
    <s v="Credit Card"/>
    <s v="Pending"/>
    <n v="2"/>
    <n v="2025"/>
    <s v="2025-02"/>
    <s v="Pending"/>
  </r>
  <r>
    <s v="ORD0132"/>
    <d v="2025-03-07T00:00:00"/>
    <x v="4"/>
    <s v="Electronics"/>
    <n v="500"/>
    <n v="2"/>
    <n v="1000"/>
    <s v="Olivia Wilson"/>
    <x v="9"/>
    <s v="Debit Card"/>
    <s v="Pending"/>
    <n v="3"/>
    <n v="2025"/>
    <s v="2025-03"/>
    <s v="Pending"/>
  </r>
  <r>
    <s v="ORD0133"/>
    <d v="2025-02-23T00:00:00"/>
    <x v="7"/>
    <s v="Electronics"/>
    <n v="800"/>
    <n v="1"/>
    <n v="800"/>
    <s v="Emily Johnson"/>
    <x v="0"/>
    <s v="Amazon Pay"/>
    <s v="Pending"/>
    <n v="2"/>
    <n v="2025"/>
    <s v="2025-02"/>
    <s v="Pending"/>
  </r>
  <r>
    <s v="ORD0134"/>
    <d v="2025-02-07T00:00:00"/>
    <x v="4"/>
    <s v="Electronics"/>
    <n v="500"/>
    <n v="5"/>
    <n v="2500"/>
    <s v="David Lee"/>
    <x v="9"/>
    <s v="Gift Card"/>
    <s v="Pending"/>
    <n v="2"/>
    <n v="2025"/>
    <s v="2025-02"/>
    <s v="Pending"/>
  </r>
  <r>
    <s v="ORD0135"/>
    <d v="2025-02-10T00:00:00"/>
    <x v="3"/>
    <s v="Clothing"/>
    <n v="20"/>
    <n v="1"/>
    <n v="20"/>
    <s v="Olivia Wilson"/>
    <x v="5"/>
    <s v="Credit Card"/>
    <s v="Pending"/>
    <n v="2"/>
    <n v="2025"/>
    <s v="2025-02"/>
    <s v="Pending"/>
  </r>
  <r>
    <s v="ORD0136"/>
    <d v="2025-02-11T00:00:00"/>
    <x v="9"/>
    <s v="Home Appliances"/>
    <n v="1200"/>
    <n v="2"/>
    <n v="2400"/>
    <s v="Daniel Harris"/>
    <x v="1"/>
    <s v="PayPal"/>
    <s v="Cancelled"/>
    <n v="2"/>
    <n v="2025"/>
    <s v="2025-02"/>
    <s v="Cancelled"/>
  </r>
  <r>
    <s v="ORD0137"/>
    <d v="2025-03-20T00:00:00"/>
    <x v="2"/>
    <s v="Electronics"/>
    <n v="150"/>
    <n v="3"/>
    <n v="450"/>
    <s v="Sophia Miller"/>
    <x v="1"/>
    <s v="Debit Card"/>
    <s v="Completed"/>
    <n v="3"/>
    <n v="2025"/>
    <s v="2025-03"/>
    <s v="Completed"/>
  </r>
  <r>
    <s v="ORD0138"/>
    <d v="2025-02-11T00:00:00"/>
    <x v="2"/>
    <s v="Electronics"/>
    <n v="150"/>
    <n v="5"/>
    <n v="750"/>
    <s v="John Doe"/>
    <x v="8"/>
    <s v="Credit Card"/>
    <s v="Cancelled"/>
    <n v="2"/>
    <n v="2025"/>
    <s v="2025-02"/>
    <s v="Cancelled"/>
  </r>
  <r>
    <s v="ORD0139"/>
    <d v="2025-03-18T00:00:00"/>
    <x v="7"/>
    <s v="Electronics"/>
    <n v="800"/>
    <n v="2"/>
    <n v="1600"/>
    <s v="Michael Brown"/>
    <x v="2"/>
    <s v="PayPal"/>
    <s v="Cancelled"/>
    <n v="3"/>
    <n v="2025"/>
    <s v="2025-03"/>
    <s v="Cancelled"/>
  </r>
  <r>
    <s v="ORD0140"/>
    <d v="2025-03-19T00:00:00"/>
    <x v="2"/>
    <s v="Electronics"/>
    <n v="150"/>
    <n v="2"/>
    <n v="300"/>
    <s v="Olivia Wilson"/>
    <x v="5"/>
    <s v="Debit Card"/>
    <s v="Completed"/>
    <n v="3"/>
    <n v="2025"/>
    <s v="2025-03"/>
    <s v="Completed"/>
  </r>
  <r>
    <s v="ORD0141"/>
    <d v="2025-03-21T00:00:00"/>
    <x v="4"/>
    <s v="Electronics"/>
    <n v="500"/>
    <n v="2"/>
    <n v="1000"/>
    <s v="John Doe"/>
    <x v="5"/>
    <s v="PayPal"/>
    <s v="Completed"/>
    <n v="3"/>
    <n v="2025"/>
    <s v="2025-03"/>
    <s v="Completed"/>
  </r>
  <r>
    <s v="ORD0142"/>
    <d v="2025-03-15T00:00:00"/>
    <x v="4"/>
    <s v="Electronics"/>
    <n v="500"/>
    <n v="3"/>
    <n v="1500"/>
    <s v="Sophia Miller"/>
    <x v="5"/>
    <s v="Gift Card"/>
    <s v="Completed"/>
    <n v="3"/>
    <n v="2025"/>
    <s v="2025-03"/>
    <s v="Completed"/>
  </r>
  <r>
    <s v="ORD0143"/>
    <d v="2025-03-31T00:00:00"/>
    <x v="9"/>
    <s v="Home Appliances"/>
    <n v="1200"/>
    <n v="2"/>
    <n v="2400"/>
    <s v="Jane Smith"/>
    <x v="3"/>
    <s v="PayPal"/>
    <s v="Cancelled"/>
    <n v="3"/>
    <n v="2025"/>
    <s v="2025-03"/>
    <s v="Cancelled"/>
  </r>
  <r>
    <s v="ORD0144"/>
    <d v="2025-02-27T00:00:00"/>
    <x v="6"/>
    <s v="Clothing"/>
    <n v="40"/>
    <n v="2"/>
    <n v="80"/>
    <s v="Michael Brown"/>
    <x v="8"/>
    <s v="Gift Card"/>
    <s v="Cancelled"/>
    <n v="2"/>
    <n v="2025"/>
    <s v="2025-02"/>
    <s v="Cancelled"/>
  </r>
  <r>
    <s v="ORD0145"/>
    <d v="2025-03-08T00:00:00"/>
    <x v="2"/>
    <s v="Electronics"/>
    <n v="150"/>
    <n v="2"/>
    <n v="300"/>
    <s v="Michael Brown"/>
    <x v="7"/>
    <s v="Debit Card"/>
    <s v="Cancelled"/>
    <n v="3"/>
    <n v="2025"/>
    <s v="2025-03"/>
    <s v="Cancelled"/>
  </r>
  <r>
    <s v="ORD0146"/>
    <d v="2025-03-25T00:00:00"/>
    <x v="2"/>
    <s v="Electronics"/>
    <n v="150"/>
    <n v="2"/>
    <n v="300"/>
    <s v="Emma Clark"/>
    <x v="6"/>
    <s v="Debit Card"/>
    <s v="Completed"/>
    <n v="3"/>
    <n v="2025"/>
    <s v="2025-03"/>
    <s v="Completed"/>
  </r>
  <r>
    <s v="ORD0147"/>
    <d v="2025-02-05T00:00:00"/>
    <x v="0"/>
    <s v="Footwear"/>
    <n v="60"/>
    <n v="5"/>
    <n v="300"/>
    <s v="Jane Smith"/>
    <x v="3"/>
    <s v="PayPal"/>
    <s v="Pending"/>
    <n v="2"/>
    <n v="2025"/>
    <s v="2025-02"/>
    <s v="Pending"/>
  </r>
  <r>
    <s v="ORD0148"/>
    <d v="2025-02-06T00:00:00"/>
    <x v="1"/>
    <s v="Electronics"/>
    <n v="100"/>
    <n v="4"/>
    <n v="400"/>
    <s v="Emily Johnson"/>
    <x v="8"/>
    <s v="Amazon Pay"/>
    <s v="Cancelled"/>
    <n v="2"/>
    <n v="2025"/>
    <s v="2025-02"/>
    <s v="Cancelled"/>
  </r>
  <r>
    <s v="ORD0149"/>
    <d v="2025-03-20T00:00:00"/>
    <x v="0"/>
    <s v="Footwear"/>
    <n v="60"/>
    <n v="3"/>
    <n v="180"/>
    <s v="Michael Brown"/>
    <x v="0"/>
    <s v="Gift Card"/>
    <s v="Pending"/>
    <n v="3"/>
    <n v="2025"/>
    <s v="2025-03"/>
    <s v="Pending"/>
  </r>
  <r>
    <s v="ORD0150"/>
    <d v="2025-02-08T00:00:00"/>
    <x v="5"/>
    <s v="Books"/>
    <n v="15"/>
    <n v="4"/>
    <n v="60"/>
    <s v="Daniel Harris"/>
    <x v="9"/>
    <s v="Gift Card"/>
    <s v="Cancelled"/>
    <n v="2"/>
    <n v="2025"/>
    <s v="2025-02"/>
    <s v="Cancelled"/>
  </r>
  <r>
    <s v="ORD0151"/>
    <d v="2025-03-29T00:00:00"/>
    <x v="8"/>
    <s v="Home Appliances"/>
    <n v="600"/>
    <n v="4"/>
    <n v="2400"/>
    <s v="Jane Smith"/>
    <x v="8"/>
    <s v="Amazon Pay"/>
    <s v="Pending"/>
    <n v="3"/>
    <n v="2025"/>
    <s v="2025-03"/>
    <s v="Pending"/>
  </r>
  <r>
    <s v="ORD0152"/>
    <d v="2025-02-28T00:00:00"/>
    <x v="2"/>
    <s v="Electronics"/>
    <n v="150"/>
    <n v="1"/>
    <n v="150"/>
    <s v="John Doe"/>
    <x v="7"/>
    <s v="Gift Card"/>
    <s v="Completed"/>
    <n v="2"/>
    <n v="2025"/>
    <s v="2025-02"/>
    <s v="Completed"/>
  </r>
  <r>
    <s v="ORD0153"/>
    <d v="2025-02-23T00:00:00"/>
    <x v="2"/>
    <s v="Electronics"/>
    <n v="150"/>
    <n v="5"/>
    <n v="750"/>
    <s v="Sophia Miller"/>
    <x v="1"/>
    <s v="PayPal"/>
    <s v="Pending"/>
    <n v="2"/>
    <n v="2025"/>
    <s v="2025-02"/>
    <s v="Pending"/>
  </r>
  <r>
    <s v="ORD0154"/>
    <d v="2025-03-01T00:00:00"/>
    <x v="1"/>
    <s v="Electronics"/>
    <n v="100"/>
    <n v="2"/>
    <n v="200"/>
    <s v="John Doe"/>
    <x v="2"/>
    <s v="Debit Card"/>
    <s v="Completed"/>
    <n v="3"/>
    <n v="2025"/>
    <s v="2025-03"/>
    <s v="Completed"/>
  </r>
  <r>
    <s v="ORD0155"/>
    <d v="2025-02-05T00:00:00"/>
    <x v="9"/>
    <s v="Home Appliances"/>
    <n v="1200"/>
    <n v="4"/>
    <n v="4800"/>
    <s v="Sophia Miller"/>
    <x v="7"/>
    <s v="Credit Card"/>
    <s v="Pending"/>
    <n v="2"/>
    <n v="2025"/>
    <s v="2025-02"/>
    <s v="Pending"/>
  </r>
  <r>
    <s v="ORD0156"/>
    <d v="2025-03-16T00:00:00"/>
    <x v="2"/>
    <s v="Electronics"/>
    <n v="150"/>
    <n v="4"/>
    <n v="600"/>
    <s v="Olivia Wilson"/>
    <x v="5"/>
    <s v="PayPal"/>
    <s v="Cancelled"/>
    <n v="3"/>
    <n v="2025"/>
    <s v="2025-03"/>
    <s v="Cancelled"/>
  </r>
  <r>
    <s v="ORD0157"/>
    <d v="2025-02-08T00:00:00"/>
    <x v="4"/>
    <s v="Electronics"/>
    <n v="500"/>
    <n v="3"/>
    <n v="1500"/>
    <s v="Sophia Miller"/>
    <x v="2"/>
    <s v="Credit Card"/>
    <s v="Pending"/>
    <n v="2"/>
    <n v="2025"/>
    <s v="2025-02"/>
    <s v="Pending"/>
  </r>
  <r>
    <s v="ORD0158"/>
    <d v="2025-02-24T00:00:00"/>
    <x v="7"/>
    <s v="Electronics"/>
    <n v="800"/>
    <n v="3"/>
    <n v="2400"/>
    <s v="Chris White"/>
    <x v="5"/>
    <s v="Debit Card"/>
    <s v="Pending"/>
    <n v="2"/>
    <n v="2025"/>
    <s v="2025-02"/>
    <s v="Pending"/>
  </r>
  <r>
    <s v="ORD0159"/>
    <d v="2025-02-16T00:00:00"/>
    <x v="3"/>
    <s v="Clothing"/>
    <n v="20"/>
    <n v="2"/>
    <n v="40"/>
    <s v="David Lee"/>
    <x v="3"/>
    <s v="Gift Card"/>
    <s v="Cancelled"/>
    <n v="2"/>
    <n v="2025"/>
    <s v="2025-02"/>
    <s v="Cancelled"/>
  </r>
  <r>
    <s v="ORD0160"/>
    <d v="2025-02-06T00:00:00"/>
    <x v="8"/>
    <s v="Home Appliances"/>
    <n v="600"/>
    <n v="3"/>
    <n v="1800"/>
    <s v="Olivia Wilson"/>
    <x v="2"/>
    <s v="Gift Card"/>
    <s v="Cancelled"/>
    <n v="2"/>
    <n v="2025"/>
    <s v="2025-02"/>
    <s v="Cancelled"/>
  </r>
  <r>
    <s v="ORD0161"/>
    <d v="2025-02-22T00:00:00"/>
    <x v="1"/>
    <s v="Electronics"/>
    <n v="100"/>
    <n v="1"/>
    <n v="100"/>
    <s v="Emily Johnson"/>
    <x v="8"/>
    <s v="Credit Card"/>
    <s v="Completed"/>
    <n v="2"/>
    <n v="2025"/>
    <s v="2025-02"/>
    <s v="Completed"/>
  </r>
  <r>
    <s v="ORD0162"/>
    <d v="2025-02-09T00:00:00"/>
    <x v="4"/>
    <s v="Electronics"/>
    <n v="500"/>
    <n v="2"/>
    <n v="1000"/>
    <s v="Olivia Wilson"/>
    <x v="9"/>
    <s v="Credit Card"/>
    <s v="Completed"/>
    <n v="2"/>
    <n v="2025"/>
    <s v="2025-02"/>
    <s v="Completed"/>
  </r>
  <r>
    <s v="ORD0163"/>
    <d v="2025-02-20T00:00:00"/>
    <x v="0"/>
    <s v="Footwear"/>
    <n v="60"/>
    <n v="2"/>
    <n v="120"/>
    <s v="Chris White"/>
    <x v="4"/>
    <s v="PayPal"/>
    <s v="Completed"/>
    <n v="2"/>
    <n v="2025"/>
    <s v="2025-02"/>
    <s v="Completed"/>
  </r>
  <r>
    <s v="ORD0164"/>
    <d v="2025-02-25T00:00:00"/>
    <x v="2"/>
    <s v="Electronics"/>
    <n v="150"/>
    <n v="5"/>
    <n v="750"/>
    <s v="Michael Brown"/>
    <x v="6"/>
    <s v="Debit Card"/>
    <s v="Pending"/>
    <n v="2"/>
    <n v="2025"/>
    <s v="2025-02"/>
    <s v="Pending"/>
  </r>
  <r>
    <s v="ORD0165"/>
    <d v="2025-03-14T00:00:00"/>
    <x v="5"/>
    <s v="Books"/>
    <n v="15"/>
    <n v="1"/>
    <n v="15"/>
    <s v="David Lee"/>
    <x v="0"/>
    <s v="Amazon Pay"/>
    <s v="Pending"/>
    <n v="3"/>
    <n v="2025"/>
    <s v="2025-03"/>
    <s v="Pending"/>
  </r>
  <r>
    <s v="ORD0166"/>
    <d v="2025-03-30T00:00:00"/>
    <x v="8"/>
    <s v="Home Appliances"/>
    <n v="600"/>
    <n v="4"/>
    <n v="2400"/>
    <s v="Chris White"/>
    <x v="4"/>
    <s v="Credit Card"/>
    <s v="Pending"/>
    <n v="3"/>
    <n v="2025"/>
    <s v="2025-03"/>
    <s v="Pending"/>
  </r>
  <r>
    <s v="ORD0167"/>
    <d v="2025-03-20T00:00:00"/>
    <x v="9"/>
    <s v="Home Appliances"/>
    <n v="1200"/>
    <n v="2"/>
    <n v="2400"/>
    <s v="Olivia Wilson"/>
    <x v="7"/>
    <s v="Credit Card"/>
    <s v="Completed"/>
    <n v="3"/>
    <n v="2025"/>
    <s v="2025-03"/>
    <s v="Completed"/>
  </r>
  <r>
    <s v="ORD0168"/>
    <d v="2025-03-24T00:00:00"/>
    <x v="7"/>
    <s v="Electronics"/>
    <n v="800"/>
    <n v="5"/>
    <n v="4000"/>
    <s v="Michael Brown"/>
    <x v="5"/>
    <s v="Debit Card"/>
    <s v="Pending"/>
    <n v="3"/>
    <n v="2025"/>
    <s v="2025-03"/>
    <s v="Pending"/>
  </r>
  <r>
    <s v="ORD0169"/>
    <d v="2025-03-06T00:00:00"/>
    <x v="9"/>
    <s v="Home Appliances"/>
    <n v="1200"/>
    <n v="2"/>
    <n v="2400"/>
    <s v="John Doe"/>
    <x v="2"/>
    <s v="PayPal"/>
    <s v="Completed"/>
    <n v="3"/>
    <n v="2025"/>
    <s v="2025-03"/>
    <s v="Completed"/>
  </r>
  <r>
    <s v="ORD0170"/>
    <d v="2025-02-28T00:00:00"/>
    <x v="7"/>
    <s v="Electronics"/>
    <n v="800"/>
    <n v="1"/>
    <n v="800"/>
    <s v="Emma Clark"/>
    <x v="1"/>
    <s v="Gift Card"/>
    <s v="Pending"/>
    <n v="2"/>
    <n v="2025"/>
    <s v="2025-02"/>
    <s v="Pending"/>
  </r>
  <r>
    <s v="ORD0171"/>
    <d v="2025-02-28T00:00:00"/>
    <x v="2"/>
    <s v="Electronics"/>
    <n v="150"/>
    <n v="2"/>
    <n v="300"/>
    <s v="Daniel Harris"/>
    <x v="4"/>
    <s v="PayPal"/>
    <s v="Completed"/>
    <n v="2"/>
    <n v="2025"/>
    <s v="2025-02"/>
    <s v="Completed"/>
  </r>
  <r>
    <s v="ORD0172"/>
    <d v="2025-03-12T00:00:00"/>
    <x v="5"/>
    <s v="Books"/>
    <n v="15"/>
    <n v="1"/>
    <n v="15"/>
    <s v="David Lee"/>
    <x v="5"/>
    <s v="Debit Card"/>
    <s v="Cancelled"/>
    <n v="3"/>
    <n v="2025"/>
    <s v="2025-03"/>
    <s v="Cancelled"/>
  </r>
  <r>
    <s v="ORD0173"/>
    <d v="2025-02-28T00:00:00"/>
    <x v="9"/>
    <s v="Home Appliances"/>
    <n v="1200"/>
    <n v="1"/>
    <n v="1200"/>
    <s v="Olivia Wilson"/>
    <x v="7"/>
    <s v="PayPal"/>
    <s v="Completed"/>
    <n v="2"/>
    <n v="2025"/>
    <s v="2025-02"/>
    <s v="Completed"/>
  </r>
  <r>
    <s v="ORD0174"/>
    <d v="2025-03-13T00:00:00"/>
    <x v="2"/>
    <s v="Electronics"/>
    <n v="150"/>
    <n v="2"/>
    <n v="300"/>
    <s v="David Lee"/>
    <x v="9"/>
    <s v="Debit Card"/>
    <s v="Pending"/>
    <n v="3"/>
    <n v="2025"/>
    <s v="2025-03"/>
    <s v="Pending"/>
  </r>
  <r>
    <s v="ORD0175"/>
    <d v="2025-03-24T00:00:00"/>
    <x v="6"/>
    <s v="Clothing"/>
    <n v="40"/>
    <n v="5"/>
    <n v="200"/>
    <s v="David Lee"/>
    <x v="0"/>
    <s v="Debit Card"/>
    <s v="Cancelled"/>
    <n v="3"/>
    <n v="2025"/>
    <s v="2025-03"/>
    <s v="Cancelled"/>
  </r>
  <r>
    <s v="ORD0176"/>
    <d v="2025-03-27T00:00:00"/>
    <x v="5"/>
    <s v="Books"/>
    <n v="15"/>
    <n v="1"/>
    <n v="15"/>
    <s v="Michael Brown"/>
    <x v="6"/>
    <s v="Amazon Pay"/>
    <s v="Completed"/>
    <n v="3"/>
    <n v="2025"/>
    <s v="2025-03"/>
    <s v="Completed"/>
  </r>
  <r>
    <s v="ORD0177"/>
    <d v="2025-03-14T00:00:00"/>
    <x v="5"/>
    <s v="Books"/>
    <n v="15"/>
    <n v="5"/>
    <n v="75"/>
    <s v="David Lee"/>
    <x v="1"/>
    <s v="Credit Card"/>
    <s v="Pending"/>
    <n v="3"/>
    <n v="2025"/>
    <s v="2025-03"/>
    <s v="Pending"/>
  </r>
  <r>
    <s v="ORD0178"/>
    <d v="2025-02-06T00:00:00"/>
    <x v="4"/>
    <s v="Electronics"/>
    <n v="500"/>
    <n v="3"/>
    <n v="1500"/>
    <s v="Emily Johnson"/>
    <x v="9"/>
    <s v="PayPal"/>
    <s v="Completed"/>
    <n v="2"/>
    <n v="2025"/>
    <s v="2025-02"/>
    <s v="Completed"/>
  </r>
  <r>
    <s v="ORD0179"/>
    <d v="2025-03-25T00:00:00"/>
    <x v="6"/>
    <s v="Clothing"/>
    <n v="40"/>
    <n v="1"/>
    <n v="40"/>
    <s v="Olivia Wilson"/>
    <x v="7"/>
    <s v="PayPal"/>
    <s v="Cancelled"/>
    <n v="3"/>
    <n v="2025"/>
    <s v="2025-03"/>
    <s v="Cancelled"/>
  </r>
  <r>
    <s v="ORD0180"/>
    <d v="2025-03-04T00:00:00"/>
    <x v="9"/>
    <s v="Home Appliances"/>
    <n v="1200"/>
    <n v="3"/>
    <n v="3600"/>
    <s v="David Lee"/>
    <x v="6"/>
    <s v="Gift Card"/>
    <s v="Completed"/>
    <n v="3"/>
    <n v="2025"/>
    <s v="2025-03"/>
    <s v="Completed"/>
  </r>
  <r>
    <s v="ORD0181"/>
    <d v="2025-03-03T00:00:00"/>
    <x v="0"/>
    <s v="Footwear"/>
    <n v="60"/>
    <n v="2"/>
    <n v="120"/>
    <s v="David Lee"/>
    <x v="8"/>
    <s v="Debit Card"/>
    <s v="Cancelled"/>
    <n v="3"/>
    <n v="2025"/>
    <s v="2025-03"/>
    <s v="Cancelled"/>
  </r>
  <r>
    <s v="ORD0182"/>
    <d v="2025-04-02T00:00:00"/>
    <x v="3"/>
    <s v="Clothing"/>
    <n v="20"/>
    <n v="5"/>
    <n v="100"/>
    <s v="Emma Clark"/>
    <x v="2"/>
    <s v="PayPal"/>
    <s v="Completed"/>
    <n v="4"/>
    <n v="2025"/>
    <s v="2025-04"/>
    <s v="Completed"/>
  </r>
  <r>
    <s v="ORD0183"/>
    <d v="2025-03-25T00:00:00"/>
    <x v="8"/>
    <s v="Home Appliances"/>
    <n v="600"/>
    <n v="1"/>
    <n v="600"/>
    <s v="Emma Clark"/>
    <x v="7"/>
    <s v="Debit Card"/>
    <s v="Pending"/>
    <n v="3"/>
    <n v="2025"/>
    <s v="2025-03"/>
    <s v="Pending"/>
  </r>
  <r>
    <s v="ORD0184"/>
    <d v="2025-02-17T00:00:00"/>
    <x v="5"/>
    <s v="Books"/>
    <n v="15"/>
    <n v="5"/>
    <n v="75"/>
    <s v="Daniel Harris"/>
    <x v="5"/>
    <s v="Debit Card"/>
    <s v="Pending"/>
    <n v="2"/>
    <n v="2025"/>
    <s v="2025-02"/>
    <s v="Pending"/>
  </r>
  <r>
    <s v="ORD0185"/>
    <d v="2025-03-22T00:00:00"/>
    <x v="3"/>
    <s v="Clothing"/>
    <n v="20"/>
    <n v="1"/>
    <n v="20"/>
    <s v="Chris White"/>
    <x v="3"/>
    <s v="Debit Card"/>
    <s v="Completed"/>
    <n v="3"/>
    <n v="2025"/>
    <s v="2025-03"/>
    <s v="Completed"/>
  </r>
  <r>
    <s v="ORD0186"/>
    <d v="2025-03-02T00:00:00"/>
    <x v="8"/>
    <s v="Home Appliances"/>
    <n v="600"/>
    <n v="4"/>
    <n v="2400"/>
    <s v="Michael Brown"/>
    <x v="0"/>
    <s v="PayPal"/>
    <s v="Completed"/>
    <n v="3"/>
    <n v="2025"/>
    <s v="2025-03"/>
    <s v="Completed"/>
  </r>
  <r>
    <s v="ORD0187"/>
    <d v="2025-03-13T00:00:00"/>
    <x v="7"/>
    <s v="Electronics"/>
    <n v="800"/>
    <n v="3"/>
    <n v="2400"/>
    <s v="John Doe"/>
    <x v="0"/>
    <s v="PayPal"/>
    <s v="Pending"/>
    <n v="3"/>
    <n v="2025"/>
    <s v="2025-03"/>
    <s v="Pending"/>
  </r>
  <r>
    <s v="ORD0188"/>
    <d v="2025-02-14T00:00:00"/>
    <x v="5"/>
    <s v="Books"/>
    <n v="15"/>
    <n v="1"/>
    <n v="15"/>
    <s v="John Doe"/>
    <x v="6"/>
    <s v="Amazon Pay"/>
    <s v="Completed"/>
    <n v="2"/>
    <n v="2025"/>
    <s v="2025-02"/>
    <s v="Completed"/>
  </r>
  <r>
    <s v="ORD0189"/>
    <d v="2025-02-10T00:00:00"/>
    <x v="7"/>
    <s v="Electronics"/>
    <n v="800"/>
    <n v="3"/>
    <n v="2400"/>
    <s v="Jane Smith"/>
    <x v="4"/>
    <s v="Amazon Pay"/>
    <s v="Completed"/>
    <n v="2"/>
    <n v="2025"/>
    <s v="2025-02"/>
    <s v="Completed"/>
  </r>
  <r>
    <s v="ORD0190"/>
    <d v="2025-02-23T00:00:00"/>
    <x v="0"/>
    <s v="Footwear"/>
    <n v="60"/>
    <n v="1"/>
    <n v="60"/>
    <s v="Sophia Miller"/>
    <x v="4"/>
    <s v="PayPal"/>
    <s v="Completed"/>
    <n v="2"/>
    <n v="2025"/>
    <s v="2025-02"/>
    <s v="Completed"/>
  </r>
  <r>
    <s v="ORD0191"/>
    <d v="2025-02-28T00:00:00"/>
    <x v="6"/>
    <s v="Clothing"/>
    <n v="40"/>
    <n v="4"/>
    <n v="160"/>
    <s v="John Doe"/>
    <x v="7"/>
    <s v="Amazon Pay"/>
    <s v="Pending"/>
    <n v="2"/>
    <n v="2025"/>
    <s v="2025-02"/>
    <s v="Pending"/>
  </r>
  <r>
    <s v="ORD0192"/>
    <d v="2025-03-31T00:00:00"/>
    <x v="1"/>
    <s v="Electronics"/>
    <n v="100"/>
    <n v="3"/>
    <n v="300"/>
    <s v="Sophia Miller"/>
    <x v="3"/>
    <s v="Gift Card"/>
    <s v="Pending"/>
    <n v="3"/>
    <n v="2025"/>
    <s v="2025-03"/>
    <s v="Pending"/>
  </r>
  <r>
    <s v="ORD0193"/>
    <d v="2025-03-30T00:00:00"/>
    <x v="5"/>
    <s v="Books"/>
    <n v="15"/>
    <n v="5"/>
    <n v="75"/>
    <s v="David Lee"/>
    <x v="9"/>
    <s v="Amazon Pay"/>
    <s v="Pending"/>
    <n v="3"/>
    <n v="2025"/>
    <s v="2025-03"/>
    <s v="Pending"/>
  </r>
  <r>
    <s v="ORD0194"/>
    <d v="2025-02-20T00:00:00"/>
    <x v="6"/>
    <s v="Clothing"/>
    <n v="40"/>
    <n v="4"/>
    <n v="160"/>
    <s v="John Doe"/>
    <x v="1"/>
    <s v="Debit Card"/>
    <s v="Cancelled"/>
    <n v="2"/>
    <n v="2025"/>
    <s v="2025-02"/>
    <s v="Cancelled"/>
  </r>
  <r>
    <s v="ORD0195"/>
    <d v="2025-03-10T00:00:00"/>
    <x v="4"/>
    <s v="Electronics"/>
    <n v="500"/>
    <n v="3"/>
    <n v="1500"/>
    <s v="Olivia Wilson"/>
    <x v="2"/>
    <s v="Gift Card"/>
    <s v="Cancelled"/>
    <n v="3"/>
    <n v="2025"/>
    <s v="2025-03"/>
    <s v="Cancelled"/>
  </r>
  <r>
    <s v="ORD0196"/>
    <d v="2025-03-04T00:00:00"/>
    <x v="1"/>
    <s v="Electronics"/>
    <n v="100"/>
    <n v="5"/>
    <n v="500"/>
    <s v="Daniel Harris"/>
    <x v="7"/>
    <s v="Debit Card"/>
    <s v="Pending"/>
    <n v="3"/>
    <n v="2025"/>
    <s v="2025-03"/>
    <s v="Pending"/>
  </r>
  <r>
    <s v="ORD0197"/>
    <d v="2025-03-12T00:00:00"/>
    <x v="0"/>
    <s v="Footwear"/>
    <n v="60"/>
    <n v="2"/>
    <n v="120"/>
    <s v="Michael Brown"/>
    <x v="2"/>
    <s v="Gift Card"/>
    <s v="Completed"/>
    <n v="3"/>
    <n v="2025"/>
    <s v="2025-03"/>
    <s v="Completed"/>
  </r>
  <r>
    <s v="ORD0198"/>
    <d v="2025-02-20T00:00:00"/>
    <x v="7"/>
    <s v="Electronics"/>
    <n v="800"/>
    <n v="4"/>
    <n v="3200"/>
    <s v="Jane Smith"/>
    <x v="7"/>
    <s v="Amazon Pay"/>
    <s v="Pending"/>
    <n v="2"/>
    <n v="2025"/>
    <s v="2025-02"/>
    <s v="Pending"/>
  </r>
  <r>
    <s v="ORD0199"/>
    <d v="2025-02-22T00:00:00"/>
    <x v="4"/>
    <s v="Electronics"/>
    <n v="500"/>
    <n v="3"/>
    <n v="1500"/>
    <s v="Chris White"/>
    <x v="3"/>
    <s v="Credit Card"/>
    <s v="Completed"/>
    <n v="2"/>
    <n v="2025"/>
    <s v="2025-02"/>
    <s v="Completed"/>
  </r>
  <r>
    <s v="ORD0200"/>
    <d v="2025-02-10T00:00:00"/>
    <x v="5"/>
    <s v="Books"/>
    <n v="15"/>
    <n v="2"/>
    <n v="30"/>
    <s v="Chris White"/>
    <x v="8"/>
    <s v="Debit Card"/>
    <s v="Completed"/>
    <n v="2"/>
    <n v="2025"/>
    <s v="2025-02"/>
    <s v="Completed"/>
  </r>
  <r>
    <s v="ORD0201"/>
    <d v="2025-02-03T00:00:00"/>
    <x v="5"/>
    <s v="Books"/>
    <n v="15"/>
    <n v="4"/>
    <n v="60"/>
    <s v="Michael Brown"/>
    <x v="1"/>
    <s v="Credit Card"/>
    <s v="Completed"/>
    <n v="2"/>
    <n v="2025"/>
    <s v="2025-02"/>
    <s v="Completed"/>
  </r>
  <r>
    <s v="ORD0202"/>
    <d v="2025-02-21T00:00:00"/>
    <x v="4"/>
    <s v="Electronics"/>
    <n v="500"/>
    <n v="2"/>
    <n v="1000"/>
    <s v="Daniel Harris"/>
    <x v="5"/>
    <s v="Credit Card"/>
    <s v="Cancelled"/>
    <n v="2"/>
    <n v="2025"/>
    <s v="2025-02"/>
    <s v="Cancelled"/>
  </r>
  <r>
    <s v="ORD0203"/>
    <d v="2025-02-21T00:00:00"/>
    <x v="9"/>
    <s v="Home Appliances"/>
    <n v="1200"/>
    <n v="3"/>
    <n v="3600"/>
    <s v="John Doe"/>
    <x v="3"/>
    <s v="Debit Card"/>
    <s v="Completed"/>
    <n v="2"/>
    <n v="2025"/>
    <s v="2025-02"/>
    <s v="Completed"/>
  </r>
  <r>
    <s v="ORD0204"/>
    <d v="2025-03-08T00:00:00"/>
    <x v="0"/>
    <s v="Footwear"/>
    <n v="60"/>
    <n v="5"/>
    <n v="300"/>
    <s v="Jane Smith"/>
    <x v="5"/>
    <s v="Gift Card"/>
    <s v="Pending"/>
    <n v="3"/>
    <n v="2025"/>
    <s v="2025-03"/>
    <s v="Pending"/>
  </r>
  <r>
    <s v="ORD0205"/>
    <d v="2025-02-27T00:00:00"/>
    <x v="1"/>
    <s v="Electronics"/>
    <n v="100"/>
    <n v="2"/>
    <n v="200"/>
    <s v="David Lee"/>
    <x v="4"/>
    <s v="PayPal"/>
    <s v="Completed"/>
    <n v="2"/>
    <n v="2025"/>
    <s v="2025-02"/>
    <s v="Completed"/>
  </r>
  <r>
    <s v="ORD0206"/>
    <d v="2025-02-12T00:00:00"/>
    <x v="8"/>
    <s v="Home Appliances"/>
    <n v="600"/>
    <n v="5"/>
    <n v="3000"/>
    <s v="Emma Clark"/>
    <x v="5"/>
    <s v="Amazon Pay"/>
    <s v="Pending"/>
    <n v="2"/>
    <n v="2025"/>
    <s v="2025-02"/>
    <s v="Pending"/>
  </r>
  <r>
    <s v="ORD0207"/>
    <d v="2025-03-21T00:00:00"/>
    <x v="8"/>
    <s v="Home Appliances"/>
    <n v="600"/>
    <n v="1"/>
    <n v="600"/>
    <s v="John Doe"/>
    <x v="5"/>
    <s v="Credit Card"/>
    <s v="Completed"/>
    <n v="3"/>
    <n v="2025"/>
    <s v="2025-03"/>
    <s v="Completed"/>
  </r>
  <r>
    <s v="ORD0208"/>
    <d v="2025-02-02T00:00:00"/>
    <x v="9"/>
    <s v="Home Appliances"/>
    <n v="1200"/>
    <n v="3"/>
    <n v="3600"/>
    <s v="John Doe"/>
    <x v="5"/>
    <s v="PayPal"/>
    <s v="Completed"/>
    <n v="2"/>
    <n v="2025"/>
    <s v="2025-02"/>
    <s v="Completed"/>
  </r>
  <r>
    <s v="ORD0209"/>
    <d v="2025-03-29T00:00:00"/>
    <x v="6"/>
    <s v="Clothing"/>
    <n v="40"/>
    <n v="5"/>
    <n v="200"/>
    <s v="Daniel Harris"/>
    <x v="3"/>
    <s v="PayPal"/>
    <s v="Completed"/>
    <n v="3"/>
    <n v="2025"/>
    <s v="2025-03"/>
    <s v="Completed"/>
  </r>
  <r>
    <s v="ORD0210"/>
    <d v="2025-03-23T00:00:00"/>
    <x v="7"/>
    <s v="Electronics"/>
    <n v="800"/>
    <n v="3"/>
    <n v="2400"/>
    <s v="Jane Smith"/>
    <x v="0"/>
    <s v="PayPal"/>
    <s v="Completed"/>
    <n v="3"/>
    <n v="2025"/>
    <s v="2025-03"/>
    <s v="Completed"/>
  </r>
  <r>
    <s v="ORD0211"/>
    <d v="2025-03-13T00:00:00"/>
    <x v="4"/>
    <s v="Electronics"/>
    <n v="500"/>
    <n v="1"/>
    <n v="500"/>
    <s v="David Lee"/>
    <x v="5"/>
    <s v="Gift Card"/>
    <s v="Pending"/>
    <n v="3"/>
    <n v="2025"/>
    <s v="2025-03"/>
    <s v="Pending"/>
  </r>
  <r>
    <s v="ORD0212"/>
    <d v="2025-03-09T00:00:00"/>
    <x v="3"/>
    <s v="Clothing"/>
    <n v="20"/>
    <n v="4"/>
    <n v="80"/>
    <s v="Emma Clark"/>
    <x v="4"/>
    <s v="Debit Card"/>
    <s v="Completed"/>
    <n v="3"/>
    <n v="2025"/>
    <s v="2025-03"/>
    <s v="Completed"/>
  </r>
  <r>
    <s v="ORD0213"/>
    <d v="2025-02-06T00:00:00"/>
    <x v="7"/>
    <s v="Electronics"/>
    <n v="800"/>
    <n v="1"/>
    <n v="800"/>
    <s v="Jane Smith"/>
    <x v="8"/>
    <s v="Amazon Pay"/>
    <s v="Cancelled"/>
    <n v="2"/>
    <n v="2025"/>
    <s v="2025-02"/>
    <s v="Cancelled"/>
  </r>
  <r>
    <s v="ORD0214"/>
    <d v="2025-02-18T00:00:00"/>
    <x v="2"/>
    <s v="Electronics"/>
    <n v="150"/>
    <n v="5"/>
    <n v="750"/>
    <s v="Emily Johnson"/>
    <x v="4"/>
    <s v="Debit Card"/>
    <s v="Completed"/>
    <n v="2"/>
    <n v="2025"/>
    <s v="2025-02"/>
    <s v="Completed"/>
  </r>
  <r>
    <s v="ORD0215"/>
    <d v="2025-03-07T00:00:00"/>
    <x v="0"/>
    <s v="Footwear"/>
    <n v="60"/>
    <n v="1"/>
    <n v="60"/>
    <s v="Emma Clark"/>
    <x v="4"/>
    <s v="PayPal"/>
    <s v="Completed"/>
    <n v="3"/>
    <n v="2025"/>
    <s v="2025-03"/>
    <s v="Completed"/>
  </r>
  <r>
    <s v="ORD0216"/>
    <d v="2025-03-26T00:00:00"/>
    <x v="6"/>
    <s v="Clothing"/>
    <n v="40"/>
    <n v="2"/>
    <n v="80"/>
    <s v="Chris White"/>
    <x v="9"/>
    <s v="Credit Card"/>
    <s v="Completed"/>
    <n v="3"/>
    <n v="2025"/>
    <s v="2025-03"/>
    <s v="Completed"/>
  </r>
  <r>
    <s v="ORD0217"/>
    <d v="2025-03-19T00:00:00"/>
    <x v="0"/>
    <s v="Footwear"/>
    <n v="60"/>
    <n v="2"/>
    <n v="120"/>
    <s v="Emma Clark"/>
    <x v="6"/>
    <s v="Gift Card"/>
    <s v="Pending"/>
    <n v="3"/>
    <n v="2025"/>
    <s v="2025-03"/>
    <s v="Pending"/>
  </r>
  <r>
    <s v="ORD0218"/>
    <d v="2025-02-15T00:00:00"/>
    <x v="1"/>
    <s v="Electronics"/>
    <n v="100"/>
    <n v="4"/>
    <n v="400"/>
    <s v="Daniel Harris"/>
    <x v="0"/>
    <s v="Gift Card"/>
    <s v="Cancelled"/>
    <n v="2"/>
    <n v="2025"/>
    <s v="2025-02"/>
    <s v="Cancelled"/>
  </r>
  <r>
    <s v="ORD0219"/>
    <d v="2025-02-17T00:00:00"/>
    <x v="1"/>
    <s v="Electronics"/>
    <n v="100"/>
    <n v="3"/>
    <n v="300"/>
    <s v="David Lee"/>
    <x v="4"/>
    <s v="PayPal"/>
    <s v="Cancelled"/>
    <n v="2"/>
    <n v="2025"/>
    <s v="2025-02"/>
    <s v="Cancelled"/>
  </r>
  <r>
    <s v="ORD0220"/>
    <d v="2025-02-10T00:00:00"/>
    <x v="2"/>
    <s v="Electronics"/>
    <n v="150"/>
    <n v="3"/>
    <n v="450"/>
    <s v="Michael Brown"/>
    <x v="2"/>
    <s v="Debit Card"/>
    <s v="Completed"/>
    <n v="2"/>
    <n v="2025"/>
    <s v="2025-02"/>
    <s v="Completed"/>
  </r>
  <r>
    <s v="ORD0221"/>
    <d v="2025-02-28T00:00:00"/>
    <x v="8"/>
    <s v="Home Appliances"/>
    <n v="600"/>
    <n v="2"/>
    <n v="1200"/>
    <s v="Emily Johnson"/>
    <x v="9"/>
    <s v="Gift Card"/>
    <s v="Cancelled"/>
    <n v="2"/>
    <n v="2025"/>
    <s v="2025-02"/>
    <s v="Cancelled"/>
  </r>
  <r>
    <s v="ORD0222"/>
    <d v="2025-02-16T00:00:00"/>
    <x v="8"/>
    <s v="Home Appliances"/>
    <n v="600"/>
    <n v="2"/>
    <n v="1200"/>
    <s v="Chris White"/>
    <x v="7"/>
    <s v="PayPal"/>
    <s v="Cancelled"/>
    <n v="2"/>
    <n v="2025"/>
    <s v="2025-02"/>
    <s v="Cancelled"/>
  </r>
  <r>
    <s v="ORD0223"/>
    <d v="2025-03-24T00:00:00"/>
    <x v="6"/>
    <s v="Clothing"/>
    <n v="40"/>
    <n v="2"/>
    <n v="80"/>
    <s v="David Lee"/>
    <x v="2"/>
    <s v="Amazon Pay"/>
    <s v="Cancelled"/>
    <n v="3"/>
    <n v="2025"/>
    <s v="2025-03"/>
    <s v="Cancelled"/>
  </r>
  <r>
    <s v="ORD0224"/>
    <d v="2025-03-18T00:00:00"/>
    <x v="9"/>
    <s v="Home Appliances"/>
    <n v="1200"/>
    <n v="1"/>
    <n v="1200"/>
    <s v="Jane Smith"/>
    <x v="5"/>
    <s v="PayPal"/>
    <s v="Completed"/>
    <n v="3"/>
    <n v="2025"/>
    <s v="2025-03"/>
    <s v="Completed"/>
  </r>
  <r>
    <s v="ORD0225"/>
    <d v="2025-03-11T00:00:00"/>
    <x v="6"/>
    <s v="Clothing"/>
    <n v="40"/>
    <n v="1"/>
    <n v="40"/>
    <s v="Sophia Miller"/>
    <x v="0"/>
    <s v="Gift Card"/>
    <s v="Cancelled"/>
    <n v="3"/>
    <n v="2025"/>
    <s v="2025-03"/>
    <s v="Cancelled"/>
  </r>
  <r>
    <s v="ORD0226"/>
    <d v="2025-03-05T00:00:00"/>
    <x v="0"/>
    <s v="Footwear"/>
    <n v="60"/>
    <n v="4"/>
    <n v="240"/>
    <s v="Chris White"/>
    <x v="9"/>
    <s v="Amazon Pay"/>
    <s v="Completed"/>
    <n v="3"/>
    <n v="2025"/>
    <s v="2025-03"/>
    <s v="Completed"/>
  </r>
  <r>
    <s v="ORD0227"/>
    <d v="2025-04-02T00:00:00"/>
    <x v="1"/>
    <s v="Electronics"/>
    <n v="100"/>
    <n v="5"/>
    <n v="500"/>
    <s v="Emma Clark"/>
    <x v="5"/>
    <s v="Amazon Pay"/>
    <s v="Cancelled"/>
    <n v="4"/>
    <n v="2025"/>
    <s v="2025-04"/>
    <s v="Cancelled"/>
  </r>
  <r>
    <s v="ORD0228"/>
    <d v="2025-02-12T00:00:00"/>
    <x v="0"/>
    <s v="Footwear"/>
    <n v="60"/>
    <n v="1"/>
    <n v="60"/>
    <s v="David Lee"/>
    <x v="1"/>
    <s v="Credit Card"/>
    <s v="Pending"/>
    <n v="2"/>
    <n v="2025"/>
    <s v="2025-02"/>
    <s v="Pending"/>
  </r>
  <r>
    <s v="ORD0229"/>
    <d v="2025-03-21T00:00:00"/>
    <x v="0"/>
    <s v="Footwear"/>
    <n v="60"/>
    <n v="3"/>
    <n v="180"/>
    <s v="Emma Clark"/>
    <x v="1"/>
    <s v="Credit Card"/>
    <s v="Pending"/>
    <n v="3"/>
    <n v="2025"/>
    <s v="2025-03"/>
    <s v="Pending"/>
  </r>
  <r>
    <s v="ORD0230"/>
    <d v="2025-03-31T00:00:00"/>
    <x v="1"/>
    <s v="Electronics"/>
    <n v="100"/>
    <n v="4"/>
    <n v="400"/>
    <s v="Jane Smith"/>
    <x v="1"/>
    <s v="Amazon Pay"/>
    <s v="Pending"/>
    <n v="3"/>
    <n v="2025"/>
    <s v="2025-03"/>
    <s v="Pending"/>
  </r>
  <r>
    <s v="ORD0231"/>
    <d v="2025-02-16T00:00:00"/>
    <x v="7"/>
    <s v="Electronics"/>
    <n v="800"/>
    <n v="5"/>
    <n v="4000"/>
    <s v="Jane Smith"/>
    <x v="6"/>
    <s v="Credit Card"/>
    <s v="Cancelled"/>
    <n v="2"/>
    <n v="2025"/>
    <s v="2025-02"/>
    <s v="Cancelled"/>
  </r>
  <r>
    <s v="ORD0232"/>
    <d v="2025-03-14T00:00:00"/>
    <x v="9"/>
    <s v="Home Appliances"/>
    <n v="1200"/>
    <n v="3"/>
    <n v="3600"/>
    <s v="Emma Clark"/>
    <x v="8"/>
    <s v="Credit Card"/>
    <s v="Completed"/>
    <n v="3"/>
    <n v="2025"/>
    <s v="2025-03"/>
    <s v="Completed"/>
  </r>
  <r>
    <s v="ORD0233"/>
    <d v="2025-02-20T00:00:00"/>
    <x v="0"/>
    <s v="Footwear"/>
    <n v="60"/>
    <n v="1"/>
    <n v="60"/>
    <s v="David Lee"/>
    <x v="6"/>
    <s v="PayPal"/>
    <s v="Cancelled"/>
    <n v="2"/>
    <n v="2025"/>
    <s v="2025-02"/>
    <s v="Cancelled"/>
  </r>
  <r>
    <s v="ORD0234"/>
    <d v="2025-03-08T00:00:00"/>
    <x v="5"/>
    <s v="Books"/>
    <n v="15"/>
    <n v="1"/>
    <n v="15"/>
    <s v="Jane Smith"/>
    <x v="5"/>
    <s v="Amazon Pay"/>
    <s v="Cancelled"/>
    <n v="3"/>
    <n v="2025"/>
    <s v="2025-03"/>
    <s v="Cancelled"/>
  </r>
  <r>
    <s v="ORD0235"/>
    <d v="2025-03-23T00:00:00"/>
    <x v="9"/>
    <s v="Home Appliances"/>
    <n v="1200"/>
    <n v="1"/>
    <n v="1200"/>
    <s v="Daniel Harris"/>
    <x v="3"/>
    <s v="PayPal"/>
    <s v="Completed"/>
    <n v="3"/>
    <n v="2025"/>
    <s v="2025-03"/>
    <s v="Completed"/>
  </r>
  <r>
    <s v="ORD0236"/>
    <d v="2025-03-05T00:00:00"/>
    <x v="4"/>
    <s v="Electronics"/>
    <n v="500"/>
    <n v="5"/>
    <n v="2500"/>
    <s v="John Doe"/>
    <x v="6"/>
    <s v="PayPal"/>
    <s v="Completed"/>
    <n v="3"/>
    <n v="2025"/>
    <s v="2025-03"/>
    <s v="Completed"/>
  </r>
  <r>
    <s v="ORD0237"/>
    <d v="2025-02-11T00:00:00"/>
    <x v="1"/>
    <s v="Electronics"/>
    <n v="100"/>
    <n v="3"/>
    <n v="300"/>
    <s v="Michael Brown"/>
    <x v="4"/>
    <s v="Debit Card"/>
    <s v="Cancelled"/>
    <n v="2"/>
    <n v="2025"/>
    <s v="2025-02"/>
    <s v="Cancelled"/>
  </r>
  <r>
    <s v="ORD0238"/>
    <d v="2025-03-16T00:00:00"/>
    <x v="1"/>
    <s v="Electronics"/>
    <n v="100"/>
    <n v="1"/>
    <n v="100"/>
    <s v="Olivia Wilson"/>
    <x v="2"/>
    <s v="PayPal"/>
    <s v="Completed"/>
    <n v="3"/>
    <n v="2025"/>
    <s v="2025-03"/>
    <s v="Completed"/>
  </r>
  <r>
    <s v="ORD0239"/>
    <d v="2025-03-22T00:00:00"/>
    <x v="2"/>
    <s v="Electronics"/>
    <n v="150"/>
    <n v="5"/>
    <n v="750"/>
    <s v="Daniel Harris"/>
    <x v="4"/>
    <s v="Amazon Pay"/>
    <s v="Completed"/>
    <n v="3"/>
    <n v="2025"/>
    <s v="2025-03"/>
    <s v="Completed"/>
  </r>
  <r>
    <s v="ORD0240"/>
    <d v="2025-02-09T00:00:00"/>
    <x v="2"/>
    <s v="Electronics"/>
    <n v="150"/>
    <n v="1"/>
    <n v="150"/>
    <s v="John Doe"/>
    <x v="2"/>
    <s v="Gift Card"/>
    <s v="Pending"/>
    <n v="2"/>
    <n v="2025"/>
    <s v="2025-02"/>
    <s v="Pending"/>
  </r>
  <r>
    <s v="ORD0241"/>
    <d v="2025-03-30T00:00:00"/>
    <x v="4"/>
    <s v="Electronics"/>
    <n v="500"/>
    <n v="4"/>
    <n v="2000"/>
    <s v="Olivia Wilson"/>
    <x v="0"/>
    <s v="Credit Card"/>
    <s v="Pending"/>
    <n v="3"/>
    <n v="2025"/>
    <s v="2025-03"/>
    <s v="Pending"/>
  </r>
  <r>
    <s v="ORD0242"/>
    <d v="2025-03-08T00:00:00"/>
    <x v="4"/>
    <s v="Electronics"/>
    <n v="500"/>
    <n v="4"/>
    <n v="2000"/>
    <s v="Chris White"/>
    <x v="6"/>
    <s v="Gift Card"/>
    <s v="Pending"/>
    <n v="3"/>
    <n v="2025"/>
    <s v="2025-03"/>
    <s v="Pending"/>
  </r>
  <r>
    <s v="ORD0243"/>
    <d v="2025-03-05T00:00:00"/>
    <x v="0"/>
    <s v="Footwear"/>
    <n v="60"/>
    <n v="2"/>
    <n v="120"/>
    <s v="Chris White"/>
    <x v="4"/>
    <s v="Amazon Pay"/>
    <s v="Completed"/>
    <n v="3"/>
    <n v="2025"/>
    <s v="2025-03"/>
    <s v="Completed"/>
  </r>
  <r>
    <s v="ORD0244"/>
    <d v="2025-02-06T00:00:00"/>
    <x v="4"/>
    <s v="Electronics"/>
    <n v="500"/>
    <n v="4"/>
    <n v="2000"/>
    <s v="Emma Clark"/>
    <x v="4"/>
    <s v="Credit Card"/>
    <s v="Completed"/>
    <n v="2"/>
    <n v="2025"/>
    <s v="2025-02"/>
    <s v="Completed"/>
  </r>
  <r>
    <s v="ORD0245"/>
    <d v="2025-02-04T00:00:00"/>
    <x v="7"/>
    <s v="Electronics"/>
    <n v="800"/>
    <n v="1"/>
    <n v="800"/>
    <s v="Michael Brown"/>
    <x v="8"/>
    <s v="Credit Card"/>
    <s v="Cancelled"/>
    <n v="2"/>
    <n v="2025"/>
    <s v="2025-02"/>
    <s v="Cancelled"/>
  </r>
  <r>
    <s v="ORD0246"/>
    <d v="2025-03-17T00:00:00"/>
    <x v="3"/>
    <s v="Clothing"/>
    <n v="20"/>
    <n v="2"/>
    <n v="40"/>
    <s v="Daniel Harris"/>
    <x v="5"/>
    <s v="Debit Card"/>
    <s v="Cancelled"/>
    <n v="3"/>
    <n v="2025"/>
    <s v="2025-03"/>
    <s v="Cancelled"/>
  </r>
  <r>
    <s v="ORD0247"/>
    <d v="2025-03-30T00:00:00"/>
    <x v="6"/>
    <s v="Clothing"/>
    <n v="40"/>
    <n v="1"/>
    <n v="40"/>
    <s v="Sophia Miller"/>
    <x v="3"/>
    <s v="Debit Card"/>
    <s v="Cancelled"/>
    <n v="3"/>
    <n v="2025"/>
    <s v="2025-03"/>
    <s v="Cancelled"/>
  </r>
  <r>
    <s v="ORD0248"/>
    <d v="2025-03-05T00:00:00"/>
    <x v="3"/>
    <s v="Clothing"/>
    <n v="20"/>
    <n v="2"/>
    <n v="40"/>
    <s v="Chris White"/>
    <x v="2"/>
    <s v="Debit Card"/>
    <s v="Cancelled"/>
    <n v="3"/>
    <n v="2025"/>
    <s v="2025-03"/>
    <s v="Cancelled"/>
  </r>
  <r>
    <s v="ORD0249"/>
    <d v="2025-03-08T00:00:00"/>
    <x v="2"/>
    <s v="Electronics"/>
    <n v="150"/>
    <n v="3"/>
    <n v="450"/>
    <s v="Emily Johnson"/>
    <x v="0"/>
    <s v="Debit Card"/>
    <s v="Cancelled"/>
    <n v="3"/>
    <n v="2025"/>
    <s v="2025-03"/>
    <s v="Cancelled"/>
  </r>
  <r>
    <s v="ORD0250"/>
    <d v="2025-02-19T00:00:00"/>
    <x v="4"/>
    <s v="Electronics"/>
    <n v="500"/>
    <n v="4"/>
    <n v="2000"/>
    <s v="Emily Johnson"/>
    <x v="7"/>
    <s v="Amazon Pay"/>
    <s v="Completed"/>
    <n v="2"/>
    <n v="2025"/>
    <s v="2025-02"/>
    <s v="Complet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s v="Running Shoes"/>
    <s v="Footwear"/>
    <n v="60"/>
    <n v="3"/>
    <x v="0"/>
    <s v="Emma Clark"/>
    <s v="New York"/>
    <s v="Debit Card"/>
    <s v="Cancelled"/>
    <n v="3"/>
    <n v="2025"/>
    <s v="2025-03"/>
    <s v="Cancelled"/>
    <x v="0"/>
  </r>
  <r>
    <s v="ORD0002"/>
    <d v="2025-03-20T00:00:00"/>
    <s v="Headphones"/>
    <s v="Electronics"/>
    <n v="100"/>
    <n v="4"/>
    <x v="1"/>
    <s v="Emily Johnson"/>
    <s v="San Francisco"/>
    <s v="Debit Card"/>
    <s v="Pending"/>
    <n v="3"/>
    <n v="2025"/>
    <s v="2025-03"/>
    <s v="Pending"/>
    <x v="1"/>
  </r>
  <r>
    <s v="ORD0003"/>
    <d v="2025-02-15T00:00:00"/>
    <s v="Running Shoes"/>
    <s v="Footwear"/>
    <n v="60"/>
    <n v="2"/>
    <x v="2"/>
    <s v="John Doe"/>
    <s v="Denver"/>
    <s v="Amazon Pay"/>
    <s v="Cancelled"/>
    <n v="2"/>
    <n v="2025"/>
    <s v="2025-02"/>
    <s v="Cancelled"/>
    <x v="1"/>
  </r>
  <r>
    <s v="ORD0004"/>
    <d v="2025-02-19T00:00:00"/>
    <s v="Running Shoes"/>
    <s v="Footwear"/>
    <n v="60"/>
    <n v="3"/>
    <x v="0"/>
    <s v="Olivia Wilson"/>
    <s v="Dallas"/>
    <s v="Credit Card"/>
    <s v="Pending"/>
    <n v="2"/>
    <n v="2025"/>
    <s v="2025-02"/>
    <s v="Pending"/>
    <x v="1"/>
  </r>
  <r>
    <s v="ORD0005"/>
    <d v="2025-03-10T00:00:00"/>
    <s v="Smartwatch"/>
    <s v="Electronics"/>
    <n v="150"/>
    <n v="3"/>
    <x v="3"/>
    <s v="Emma Clark"/>
    <s v="New York"/>
    <s v="Debit Card"/>
    <s v="Pending"/>
    <n v="3"/>
    <n v="2025"/>
    <s v="2025-03"/>
    <s v="Pending"/>
    <x v="1"/>
  </r>
  <r>
    <s v="ORD0006"/>
    <d v="2025-03-14T00:00:00"/>
    <s v="T-Shirt"/>
    <s v="Clothing"/>
    <n v="20"/>
    <n v="1"/>
    <x v="4"/>
    <s v="John Doe"/>
    <s v="Dallas"/>
    <s v="Credit Card"/>
    <s v="Pending"/>
    <n v="3"/>
    <n v="2025"/>
    <s v="2025-03"/>
    <s v="Pending"/>
    <x v="1"/>
  </r>
  <r>
    <s v="ORD0007"/>
    <d v="2025-03-18T00:00:00"/>
    <s v="Smartwatch"/>
    <s v="Electronics"/>
    <n v="150"/>
    <n v="4"/>
    <x v="5"/>
    <s v="Emma Clark"/>
    <s v="Houston"/>
    <s v="PayPal"/>
    <s v="Completed"/>
    <n v="3"/>
    <n v="2025"/>
    <s v="2025-03"/>
    <s v="Completed"/>
    <x v="1"/>
  </r>
  <r>
    <s v="ORD0008"/>
    <d v="2025-03-02T00:00:00"/>
    <s v="Smartphone"/>
    <s v="Electronics"/>
    <n v="500"/>
    <n v="1"/>
    <x v="6"/>
    <s v="Sophia Miller"/>
    <s v="Miami"/>
    <s v="PayPal"/>
    <s v="Completed"/>
    <n v="3"/>
    <n v="2025"/>
    <s v="2025-03"/>
    <s v="Completed"/>
    <x v="1"/>
  </r>
  <r>
    <s v="ORD0009"/>
    <d v="2025-03-08T00:00:00"/>
    <s v="T-Shirt"/>
    <s v="Clothing"/>
    <n v="20"/>
    <n v="3"/>
    <x v="7"/>
    <s v="Sophia Miller"/>
    <s v="Boston"/>
    <s v="PayPal"/>
    <s v="Completed"/>
    <n v="3"/>
    <n v="2025"/>
    <s v="2025-03"/>
    <s v="Completed"/>
    <x v="1"/>
  </r>
  <r>
    <s v="ORD0010"/>
    <d v="2025-03-12T00:00:00"/>
    <s v="Smartphone"/>
    <s v="Electronics"/>
    <n v="500"/>
    <n v="1"/>
    <x v="6"/>
    <s v="Emily Johnson"/>
    <s v="San Francisco"/>
    <s v="Credit Card"/>
    <s v="Cancelled"/>
    <n v="3"/>
    <n v="2025"/>
    <s v="2025-03"/>
    <s v="Cancelled"/>
    <x v="1"/>
  </r>
  <r>
    <s v="ORD0011"/>
    <d v="2025-02-17T00:00:00"/>
    <s v="Book"/>
    <s v="Books"/>
    <n v="15"/>
    <n v="2"/>
    <x v="8"/>
    <s v="David Lee"/>
    <s v="Boston"/>
    <s v="Amazon Pay"/>
    <s v="Pending"/>
    <n v="2"/>
    <n v="2025"/>
    <s v="2025-02"/>
    <s v="Pending"/>
    <x v="1"/>
  </r>
  <r>
    <s v="ORD0012"/>
    <d v="2025-03-13T00:00:00"/>
    <s v="Jeans"/>
    <s v="Clothing"/>
    <n v="40"/>
    <n v="4"/>
    <x v="9"/>
    <s v="Michael Brown"/>
    <s v="Dallas"/>
    <s v="Credit Card"/>
    <s v="Completed"/>
    <n v="3"/>
    <n v="2025"/>
    <s v="2025-03"/>
    <s v="Completed"/>
    <x v="1"/>
  </r>
  <r>
    <s v="ORD0013"/>
    <d v="2025-03-01T00:00:00"/>
    <s v="Laptop"/>
    <s v="Electronics"/>
    <n v="800"/>
    <n v="2"/>
    <x v="10"/>
    <s v="Daniel Harris"/>
    <s v="San Francisco"/>
    <s v="Gift Card"/>
    <s v="Pending"/>
    <n v="3"/>
    <n v="2025"/>
    <s v="2025-03"/>
    <s v="Pending"/>
    <x v="1"/>
  </r>
  <r>
    <s v="ORD0014"/>
    <d v="2025-03-04T00:00:00"/>
    <s v="Washing Machine"/>
    <s v="Home Appliances"/>
    <n v="600"/>
    <n v="3"/>
    <x v="11"/>
    <s v="Michael Brown"/>
    <s v="Miami"/>
    <s v="Credit Card"/>
    <s v="Cancelled"/>
    <n v="3"/>
    <n v="2025"/>
    <s v="2025-03"/>
    <s v="Cancelled"/>
    <x v="1"/>
  </r>
  <r>
    <s v="ORD0015"/>
    <d v="2025-02-20T00:00:00"/>
    <s v="Smartwatch"/>
    <s v="Electronics"/>
    <n v="150"/>
    <n v="4"/>
    <x v="5"/>
    <s v="John Doe"/>
    <s v="Seattle"/>
    <s v="Credit Card"/>
    <s v="Completed"/>
    <n v="2"/>
    <n v="2025"/>
    <s v="2025-02"/>
    <s v="Completed"/>
    <x v="1"/>
  </r>
  <r>
    <s v="ORD0016"/>
    <d v="2025-02-26T00:00:00"/>
    <s v="Refrigerator"/>
    <s v="Home Appliances"/>
    <n v="1200"/>
    <n v="1"/>
    <x v="12"/>
    <s v="John Doe"/>
    <s v="Boston"/>
    <s v="Credit Card"/>
    <s v="Cancelled"/>
    <n v="2"/>
    <n v="2025"/>
    <s v="2025-02"/>
    <s v="Cancelled"/>
    <x v="1"/>
  </r>
  <r>
    <s v="ORD0017"/>
    <d v="2025-04-01T00:00:00"/>
    <s v="T-Shirt"/>
    <s v="Clothing"/>
    <n v="20"/>
    <n v="1"/>
    <x v="4"/>
    <s v="Emma Clark"/>
    <s v="New York"/>
    <s v="Amazon Pay"/>
    <s v="Completed"/>
    <n v="4"/>
    <n v="2025"/>
    <s v="2025-04"/>
    <s v="Completed"/>
    <x v="1"/>
  </r>
  <r>
    <s v="ORD0018"/>
    <d v="2025-02-10T00:00:00"/>
    <s v="Smartphone"/>
    <s v="Electronics"/>
    <n v="500"/>
    <n v="2"/>
    <x v="13"/>
    <s v="Michael Brown"/>
    <s v="Los Angeles"/>
    <s v="Amazon Pay"/>
    <s v="Completed"/>
    <n v="2"/>
    <n v="2025"/>
    <s v="2025-02"/>
    <s v="Completed"/>
    <x v="1"/>
  </r>
  <r>
    <s v="ORD0019"/>
    <d v="2025-03-22T00:00:00"/>
    <s v="Running Shoes"/>
    <s v="Footwear"/>
    <n v="60"/>
    <n v="3"/>
    <x v="0"/>
    <s v="Olivia Wilson"/>
    <s v="Houston"/>
    <s v="Credit Card"/>
    <s v="Completed"/>
    <n v="3"/>
    <n v="2025"/>
    <s v="2025-03"/>
    <s v="Completed"/>
    <x v="1"/>
  </r>
  <r>
    <s v="ORD0020"/>
    <d v="2025-03-07T00:00:00"/>
    <s v="Headphones"/>
    <s v="Electronics"/>
    <n v="100"/>
    <n v="4"/>
    <x v="1"/>
    <s v="Olivia Wilson"/>
    <s v="Seattle"/>
    <s v="Debit Card"/>
    <s v="Pending"/>
    <n v="3"/>
    <n v="2025"/>
    <s v="2025-03"/>
    <s v="Pending"/>
    <x v="1"/>
  </r>
  <r>
    <s v="ORD0021"/>
    <d v="2025-02-05T00:00:00"/>
    <s v="Headphones"/>
    <s v="Electronics"/>
    <n v="100"/>
    <n v="3"/>
    <x v="14"/>
    <s v="Chris White"/>
    <s v="Miami"/>
    <s v="Debit Card"/>
    <s v="Cancelled"/>
    <n v="2"/>
    <n v="2025"/>
    <s v="2025-02"/>
    <s v="Cancelled"/>
    <x v="1"/>
  </r>
  <r>
    <s v="ORD0022"/>
    <d v="2025-03-07T00:00:00"/>
    <s v="Refrigerator"/>
    <s v="Home Appliances"/>
    <n v="1200"/>
    <n v="4"/>
    <x v="15"/>
    <s v="Olivia Wilson"/>
    <s v="Houston"/>
    <s v="Credit Card"/>
    <s v="Pending"/>
    <n v="3"/>
    <n v="2025"/>
    <s v="2025-03"/>
    <s v="Pending"/>
    <x v="1"/>
  </r>
  <r>
    <s v="ORD0023"/>
    <d v="2025-02-23T00:00:00"/>
    <s v="Book"/>
    <s v="Books"/>
    <n v="15"/>
    <n v="1"/>
    <x v="16"/>
    <s v="Emma Clark"/>
    <s v="Houston"/>
    <s v="Credit Card"/>
    <s v="Pending"/>
    <n v="2"/>
    <n v="2025"/>
    <s v="2025-02"/>
    <s v="Pending"/>
    <x v="1"/>
  </r>
  <r>
    <s v="ORD0024"/>
    <d v="2025-03-24T00:00:00"/>
    <s v="Refrigerator"/>
    <s v="Home Appliances"/>
    <n v="1200"/>
    <n v="3"/>
    <x v="17"/>
    <s v="Chris White"/>
    <s v="Dallas"/>
    <s v="Credit Card"/>
    <s v="Cancelled"/>
    <n v="3"/>
    <n v="2025"/>
    <s v="2025-03"/>
    <s v="Cancelled"/>
    <x v="1"/>
  </r>
  <r>
    <s v="ORD0025"/>
    <d v="2025-03-02T00:00:00"/>
    <s v="Book"/>
    <s v="Books"/>
    <n v="15"/>
    <n v="5"/>
    <x v="18"/>
    <s v="Sophia Miller"/>
    <s v="Seattle"/>
    <s v="Amazon Pay"/>
    <s v="Completed"/>
    <n v="3"/>
    <n v="2025"/>
    <s v="2025-03"/>
    <s v="Completed"/>
    <x v="1"/>
  </r>
  <r>
    <s v="ORD0026"/>
    <d v="2025-02-14T00:00:00"/>
    <s v="Washing Machine"/>
    <s v="Home Appliances"/>
    <n v="600"/>
    <n v="1"/>
    <x v="5"/>
    <s v="Olivia Wilson"/>
    <s v="Boston"/>
    <s v="Debit Card"/>
    <s v="Cancelled"/>
    <n v="2"/>
    <n v="2025"/>
    <s v="2025-02"/>
    <s v="Cancelled"/>
    <x v="1"/>
  </r>
  <r>
    <s v="ORD0027"/>
    <d v="2025-02-07T00:00:00"/>
    <s v="T-Shirt"/>
    <s v="Clothing"/>
    <n v="20"/>
    <n v="1"/>
    <x v="4"/>
    <s v="Daniel Harris"/>
    <s v="New York"/>
    <s v="Amazon Pay"/>
    <s v="Pending"/>
    <n v="2"/>
    <n v="2025"/>
    <s v="2025-02"/>
    <s v="Pending"/>
    <x v="1"/>
  </r>
  <r>
    <s v="ORD0028"/>
    <d v="2025-02-03T00:00:00"/>
    <s v="Headphones"/>
    <s v="Electronics"/>
    <n v="100"/>
    <n v="1"/>
    <x v="19"/>
    <s v="Jane Smith"/>
    <s v="Chicago"/>
    <s v="Amazon Pay"/>
    <s v="Completed"/>
    <n v="2"/>
    <n v="2025"/>
    <s v="2025-02"/>
    <s v="Completed"/>
    <x v="1"/>
  </r>
  <r>
    <s v="ORD0029"/>
    <d v="2025-02-12T00:00:00"/>
    <s v="Smartphone"/>
    <s v="Electronics"/>
    <n v="500"/>
    <n v="1"/>
    <x v="6"/>
    <s v="Sophia Miller"/>
    <s v="Denver"/>
    <s v="Credit Card"/>
    <s v="Cancelled"/>
    <n v="2"/>
    <n v="2025"/>
    <s v="2025-02"/>
    <s v="Cancelled"/>
    <x v="1"/>
  </r>
  <r>
    <s v="ORD0030"/>
    <d v="2025-02-10T00:00:00"/>
    <s v="Washing Machine"/>
    <s v="Home Appliances"/>
    <n v="600"/>
    <n v="3"/>
    <x v="11"/>
    <s v="Emily Johnson"/>
    <s v="Dallas"/>
    <s v="Gift Card"/>
    <s v="Cancelled"/>
    <n v="2"/>
    <n v="2025"/>
    <s v="2025-02"/>
    <s v="Cancelled"/>
    <x v="1"/>
  </r>
  <r>
    <s v="ORD0031"/>
    <d v="2025-03-24T00:00:00"/>
    <s v="Smartphone"/>
    <s v="Electronics"/>
    <n v="500"/>
    <n v="1"/>
    <x v="6"/>
    <s v="John Doe"/>
    <s v="Houston"/>
    <s v="Gift Card"/>
    <s v="Pending"/>
    <n v="3"/>
    <n v="2025"/>
    <s v="2025-03"/>
    <s v="Pending"/>
    <x v="1"/>
  </r>
  <r>
    <s v="ORD0032"/>
    <d v="2025-03-10T00:00:00"/>
    <s v="Smartphone"/>
    <s v="Electronics"/>
    <n v="500"/>
    <n v="4"/>
    <x v="20"/>
    <s v="Michael Brown"/>
    <s v="Seattle"/>
    <s v="PayPal"/>
    <s v="Pending"/>
    <n v="3"/>
    <n v="2025"/>
    <s v="2025-03"/>
    <s v="Pending"/>
    <x v="1"/>
  </r>
  <r>
    <s v="ORD0033"/>
    <d v="2025-02-04T00:00:00"/>
    <s v="Book"/>
    <s v="Books"/>
    <n v="15"/>
    <n v="1"/>
    <x v="16"/>
    <s v="Olivia Wilson"/>
    <s v="New York"/>
    <s v="Debit Card"/>
    <s v="Cancelled"/>
    <n v="2"/>
    <n v="2025"/>
    <s v="2025-02"/>
    <s v="Cancelled"/>
    <x v="1"/>
  </r>
  <r>
    <s v="ORD0034"/>
    <d v="2025-04-02T00:00:00"/>
    <s v="T-Shirt"/>
    <s v="Clothing"/>
    <n v="20"/>
    <n v="5"/>
    <x v="19"/>
    <s v="Jane Smith"/>
    <s v="New York"/>
    <s v="Credit Card"/>
    <s v="Pending"/>
    <n v="4"/>
    <n v="2025"/>
    <s v="2025-04"/>
    <s v="Pending"/>
    <x v="1"/>
  </r>
  <r>
    <s v="ORD0035"/>
    <d v="2025-04-02T00:00:00"/>
    <s v="Laptop"/>
    <s v="Electronics"/>
    <n v="800"/>
    <n v="3"/>
    <x v="21"/>
    <s v="Emma Clark"/>
    <s v="Denver"/>
    <s v="Amazon Pay"/>
    <s v="Completed"/>
    <n v="4"/>
    <n v="2025"/>
    <s v="2025-04"/>
    <s v="Completed"/>
    <x v="1"/>
  </r>
  <r>
    <s v="ORD0036"/>
    <d v="2025-02-09T00:00:00"/>
    <s v="Refrigerator"/>
    <s v="Home Appliances"/>
    <n v="1200"/>
    <n v="2"/>
    <x v="21"/>
    <s v="Sophia Miller"/>
    <s v="Boston"/>
    <s v="PayPal"/>
    <s v="Cancelled"/>
    <n v="2"/>
    <n v="2025"/>
    <s v="2025-02"/>
    <s v="Cancelled"/>
    <x v="1"/>
  </r>
  <r>
    <s v="ORD0037"/>
    <d v="2025-02-16T00:00:00"/>
    <s v="Headphones"/>
    <s v="Electronics"/>
    <n v="100"/>
    <n v="3"/>
    <x v="14"/>
    <s v="Michael Brown"/>
    <s v="New York"/>
    <s v="Debit Card"/>
    <s v="Cancelled"/>
    <n v="2"/>
    <n v="2025"/>
    <s v="2025-02"/>
    <s v="Cancelled"/>
    <x v="1"/>
  </r>
  <r>
    <s v="ORD0038"/>
    <d v="2025-03-26T00:00:00"/>
    <s v="Laptop"/>
    <s v="Electronics"/>
    <n v="800"/>
    <n v="3"/>
    <x v="21"/>
    <s v="Olivia Wilson"/>
    <s v="Chicago"/>
    <s v="Amazon Pay"/>
    <s v="Completed"/>
    <n v="3"/>
    <n v="2025"/>
    <s v="2025-03"/>
    <s v="Completed"/>
    <x v="1"/>
  </r>
  <r>
    <s v="ORD0039"/>
    <d v="2025-03-02T00:00:00"/>
    <s v="Laptop"/>
    <s v="Electronics"/>
    <n v="800"/>
    <n v="2"/>
    <x v="10"/>
    <s v="Olivia Wilson"/>
    <s v="San Francisco"/>
    <s v="PayPal"/>
    <s v="Completed"/>
    <n v="3"/>
    <n v="2025"/>
    <s v="2025-03"/>
    <s v="Completed"/>
    <x v="1"/>
  </r>
  <r>
    <s v="ORD0040"/>
    <d v="2025-03-26T00:00:00"/>
    <s v="Smartwatch"/>
    <s v="Electronics"/>
    <n v="150"/>
    <n v="1"/>
    <x v="22"/>
    <s v="Emily Johnson"/>
    <s v="Seattle"/>
    <s v="Gift Card"/>
    <s v="Pending"/>
    <n v="3"/>
    <n v="2025"/>
    <s v="2025-03"/>
    <s v="Pending"/>
    <x v="1"/>
  </r>
  <r>
    <s v="ORD0041"/>
    <d v="2025-02-20T00:00:00"/>
    <s v="Book"/>
    <s v="Books"/>
    <n v="15"/>
    <n v="1"/>
    <x v="16"/>
    <s v="Jane Smith"/>
    <s v="Miami"/>
    <s v="Credit Card"/>
    <s v="Cancelled"/>
    <n v="2"/>
    <n v="2025"/>
    <s v="2025-02"/>
    <s v="Cancelled"/>
    <x v="1"/>
  </r>
  <r>
    <s v="ORD0042"/>
    <d v="2025-03-17T00:00:00"/>
    <s v="Headphones"/>
    <s v="Electronics"/>
    <n v="100"/>
    <n v="3"/>
    <x v="14"/>
    <s v="Jane Smith"/>
    <s v="Chicago"/>
    <s v="Amazon Pay"/>
    <s v="Cancelled"/>
    <n v="3"/>
    <n v="2025"/>
    <s v="2025-03"/>
    <s v="Cancelled"/>
    <x v="1"/>
  </r>
  <r>
    <s v="ORD0043"/>
    <d v="2025-02-08T00:00:00"/>
    <s v="T-Shirt"/>
    <s v="Clothing"/>
    <n v="20"/>
    <n v="4"/>
    <x v="23"/>
    <s v="Jane Smith"/>
    <s v="Denver"/>
    <s v="Credit Card"/>
    <s v="Pending"/>
    <n v="2"/>
    <n v="2025"/>
    <s v="2025-02"/>
    <s v="Pending"/>
    <x v="1"/>
  </r>
  <r>
    <s v="ORD0044"/>
    <d v="2025-03-24T00:00:00"/>
    <s v="Smartwatch"/>
    <s v="Electronics"/>
    <n v="150"/>
    <n v="1"/>
    <x v="22"/>
    <s v="Chris White"/>
    <s v="Houston"/>
    <s v="Debit Card"/>
    <s v="Pending"/>
    <n v="3"/>
    <n v="2025"/>
    <s v="2025-03"/>
    <s v="Pending"/>
    <x v="1"/>
  </r>
  <r>
    <s v="ORD0045"/>
    <d v="2025-03-15T00:00:00"/>
    <s v="Refrigerator"/>
    <s v="Home Appliances"/>
    <n v="1200"/>
    <n v="3"/>
    <x v="17"/>
    <s v="Daniel Harris"/>
    <s v="New York"/>
    <s v="Credit Card"/>
    <s v="Pending"/>
    <n v="3"/>
    <n v="2025"/>
    <s v="2025-03"/>
    <s v="Pending"/>
    <x v="1"/>
  </r>
  <r>
    <s v="ORD0046"/>
    <d v="2025-03-06T00:00:00"/>
    <s v="Running Shoes"/>
    <s v="Footwear"/>
    <n v="60"/>
    <n v="2"/>
    <x v="2"/>
    <s v="David Lee"/>
    <s v="Houston"/>
    <s v="Debit Card"/>
    <s v="Cancelled"/>
    <n v="3"/>
    <n v="2025"/>
    <s v="2025-03"/>
    <s v="Cancelled"/>
    <x v="1"/>
  </r>
  <r>
    <s v="ORD0047"/>
    <d v="2025-03-26T00:00:00"/>
    <s v="T-Shirt"/>
    <s v="Clothing"/>
    <n v="20"/>
    <n v="2"/>
    <x v="24"/>
    <s v="Chris White"/>
    <s v="Miami"/>
    <s v="Gift Card"/>
    <s v="Cancelled"/>
    <n v="3"/>
    <n v="2025"/>
    <s v="2025-03"/>
    <s v="Cancelled"/>
    <x v="1"/>
  </r>
  <r>
    <s v="ORD0048"/>
    <d v="2025-02-11T00:00:00"/>
    <s v="T-Shirt"/>
    <s v="Clothing"/>
    <n v="20"/>
    <n v="5"/>
    <x v="19"/>
    <s v="Jane Smith"/>
    <s v="Denver"/>
    <s v="Amazon Pay"/>
    <s v="Completed"/>
    <n v="2"/>
    <n v="2025"/>
    <s v="2025-02"/>
    <s v="Completed"/>
    <x v="1"/>
  </r>
  <r>
    <s v="ORD0049"/>
    <d v="2025-02-18T00:00:00"/>
    <s v="Smartphone"/>
    <s v="Electronics"/>
    <n v="500"/>
    <n v="4"/>
    <x v="20"/>
    <s v="Emma Clark"/>
    <s v="Chicago"/>
    <s v="Debit Card"/>
    <s v="Completed"/>
    <n v="2"/>
    <n v="2025"/>
    <s v="2025-02"/>
    <s v="Completed"/>
    <x v="1"/>
  </r>
  <r>
    <s v="ORD0050"/>
    <d v="2025-03-14T00:00:00"/>
    <s v="Jeans"/>
    <s v="Clothing"/>
    <n v="40"/>
    <n v="3"/>
    <x v="2"/>
    <s v="John Doe"/>
    <s v="Boston"/>
    <s v="Gift Card"/>
    <s v="Completed"/>
    <n v="3"/>
    <n v="2025"/>
    <s v="2025-03"/>
    <s v="Completed"/>
    <x v="1"/>
  </r>
  <r>
    <s v="ORD0051"/>
    <d v="2025-02-19T00:00:00"/>
    <s v="Book"/>
    <s v="Books"/>
    <n v="15"/>
    <n v="1"/>
    <x v="16"/>
    <s v="Emma Clark"/>
    <s v="Houston"/>
    <s v="Gift Card"/>
    <s v="Cancelled"/>
    <n v="2"/>
    <n v="2025"/>
    <s v="2025-02"/>
    <s v="Cancelled"/>
    <x v="1"/>
  </r>
  <r>
    <s v="ORD0052"/>
    <d v="2025-02-24T00:00:00"/>
    <s v="Laptop"/>
    <s v="Electronics"/>
    <n v="800"/>
    <n v="3"/>
    <x v="21"/>
    <s v="John Doe"/>
    <s v="San Francisco"/>
    <s v="Credit Card"/>
    <s v="Pending"/>
    <n v="2"/>
    <n v="2025"/>
    <s v="2025-02"/>
    <s v="Pending"/>
    <x v="1"/>
  </r>
  <r>
    <s v="ORD0053"/>
    <d v="2025-03-24T00:00:00"/>
    <s v="Running Shoes"/>
    <s v="Footwear"/>
    <n v="60"/>
    <n v="4"/>
    <x v="25"/>
    <s v="Emily Johnson"/>
    <s v="Los Angeles"/>
    <s v="PayPal"/>
    <s v="Completed"/>
    <n v="3"/>
    <n v="2025"/>
    <s v="2025-03"/>
    <s v="Completed"/>
    <x v="1"/>
  </r>
  <r>
    <s v="ORD0054"/>
    <d v="2025-03-15T00:00:00"/>
    <s v="Smartwatch"/>
    <s v="Electronics"/>
    <n v="150"/>
    <n v="3"/>
    <x v="3"/>
    <s v="David Lee"/>
    <s v="Boston"/>
    <s v="Gift Card"/>
    <s v="Pending"/>
    <n v="3"/>
    <n v="2025"/>
    <s v="2025-03"/>
    <s v="Pending"/>
    <x v="1"/>
  </r>
  <r>
    <s v="ORD0055"/>
    <d v="2025-03-15T00:00:00"/>
    <s v="Jeans"/>
    <s v="Clothing"/>
    <n v="40"/>
    <n v="2"/>
    <x v="23"/>
    <s v="Sophia Miller"/>
    <s v="Dallas"/>
    <s v="PayPal"/>
    <s v="Completed"/>
    <n v="3"/>
    <n v="2025"/>
    <s v="2025-03"/>
    <s v="Completed"/>
    <x v="1"/>
  </r>
  <r>
    <s v="ORD0056"/>
    <d v="2025-03-19T00:00:00"/>
    <s v="Smartwatch"/>
    <s v="Electronics"/>
    <n v="150"/>
    <n v="2"/>
    <x v="14"/>
    <s v="Emma Clark"/>
    <s v="Dallas"/>
    <s v="Credit Card"/>
    <s v="Completed"/>
    <n v="3"/>
    <n v="2025"/>
    <s v="2025-03"/>
    <s v="Completed"/>
    <x v="1"/>
  </r>
  <r>
    <s v="ORD0057"/>
    <d v="2025-03-15T00:00:00"/>
    <s v="Smartphone"/>
    <s v="Electronics"/>
    <n v="500"/>
    <n v="1"/>
    <x v="6"/>
    <s v="Jane Smith"/>
    <s v="Los Angeles"/>
    <s v="Debit Card"/>
    <s v="Cancelled"/>
    <n v="3"/>
    <n v="2025"/>
    <s v="2025-03"/>
    <s v="Cancelled"/>
    <x v="1"/>
  </r>
  <r>
    <s v="ORD0058"/>
    <d v="2025-03-13T00:00:00"/>
    <s v="Smartphone"/>
    <s v="Electronics"/>
    <n v="500"/>
    <n v="1"/>
    <x v="6"/>
    <s v="Jane Smith"/>
    <s v="Chicago"/>
    <s v="PayPal"/>
    <s v="Cancelled"/>
    <n v="3"/>
    <n v="2025"/>
    <s v="2025-03"/>
    <s v="Cancelled"/>
    <x v="1"/>
  </r>
  <r>
    <s v="ORD0059"/>
    <d v="2025-04-01T00:00:00"/>
    <s v="Smartwatch"/>
    <s v="Electronics"/>
    <n v="150"/>
    <n v="2"/>
    <x v="14"/>
    <s v="Daniel Harris"/>
    <s v="Dallas"/>
    <s v="Credit Card"/>
    <s v="Cancelled"/>
    <n v="4"/>
    <n v="2025"/>
    <s v="2025-04"/>
    <s v="Cancelled"/>
    <x v="1"/>
  </r>
  <r>
    <s v="ORD0060"/>
    <d v="2025-03-12T00:00:00"/>
    <s v="Book"/>
    <s v="Books"/>
    <n v="15"/>
    <n v="5"/>
    <x v="18"/>
    <s v="Jane Smith"/>
    <s v="Dallas"/>
    <s v="Credit Card"/>
    <s v="Pending"/>
    <n v="3"/>
    <n v="2025"/>
    <s v="2025-03"/>
    <s v="Pending"/>
    <x v="1"/>
  </r>
  <r>
    <s v="ORD0061"/>
    <d v="2025-03-11T00:00:00"/>
    <s v="Refrigerator"/>
    <s v="Home Appliances"/>
    <n v="1200"/>
    <n v="1"/>
    <x v="12"/>
    <s v="Jane Smith"/>
    <s v="New York"/>
    <s v="PayPal"/>
    <s v="Cancelled"/>
    <n v="3"/>
    <n v="2025"/>
    <s v="2025-03"/>
    <s v="Cancelled"/>
    <x v="1"/>
  </r>
  <r>
    <s v="ORD0062"/>
    <d v="2025-02-10T00:00:00"/>
    <s v="Laptop"/>
    <s v="Electronics"/>
    <n v="800"/>
    <n v="5"/>
    <x v="26"/>
    <s v="Olivia Wilson"/>
    <s v="San Francisco"/>
    <s v="PayPal"/>
    <s v="Completed"/>
    <n v="2"/>
    <n v="2025"/>
    <s v="2025-02"/>
    <s v="Completed"/>
    <x v="1"/>
  </r>
  <r>
    <s v="ORD0063"/>
    <d v="2025-03-30T00:00:00"/>
    <s v="Smartphone"/>
    <s v="Electronics"/>
    <n v="500"/>
    <n v="5"/>
    <x v="27"/>
    <s v="Emma Clark"/>
    <s v="Miami"/>
    <s v="Gift Card"/>
    <s v="Completed"/>
    <n v="3"/>
    <n v="2025"/>
    <s v="2025-03"/>
    <s v="Completed"/>
    <x v="1"/>
  </r>
  <r>
    <s v="ORD0064"/>
    <d v="2025-02-13T00:00:00"/>
    <s v="Refrigerator"/>
    <s v="Home Appliances"/>
    <n v="1200"/>
    <n v="4"/>
    <x v="15"/>
    <s v="Emily Johnson"/>
    <s v="Denver"/>
    <s v="PayPal"/>
    <s v="Pending"/>
    <n v="2"/>
    <n v="2025"/>
    <s v="2025-02"/>
    <s v="Pending"/>
    <x v="1"/>
  </r>
  <r>
    <s v="ORD0065"/>
    <d v="2025-03-16T00:00:00"/>
    <s v="Book"/>
    <s v="Books"/>
    <n v="15"/>
    <n v="3"/>
    <x v="28"/>
    <s v="Emma Clark"/>
    <s v="San Francisco"/>
    <s v="Amazon Pay"/>
    <s v="Pending"/>
    <n v="3"/>
    <n v="2025"/>
    <s v="2025-03"/>
    <s v="Pending"/>
    <x v="1"/>
  </r>
  <r>
    <s v="ORD0066"/>
    <d v="2025-03-14T00:00:00"/>
    <s v="Smartwatch"/>
    <s v="Electronics"/>
    <n v="150"/>
    <n v="2"/>
    <x v="14"/>
    <s v="Michael Brown"/>
    <s v="Denver"/>
    <s v="PayPal"/>
    <s v="Pending"/>
    <n v="3"/>
    <n v="2025"/>
    <s v="2025-03"/>
    <s v="Pending"/>
    <x v="1"/>
  </r>
  <r>
    <s v="ORD0067"/>
    <d v="2025-03-31T00:00:00"/>
    <s v="Headphones"/>
    <s v="Electronics"/>
    <n v="100"/>
    <n v="3"/>
    <x v="14"/>
    <s v="Chris White"/>
    <s v="New York"/>
    <s v="Debit Card"/>
    <s v="Pending"/>
    <n v="3"/>
    <n v="2025"/>
    <s v="2025-03"/>
    <s v="Pending"/>
    <x v="1"/>
  </r>
  <r>
    <s v="ORD0068"/>
    <d v="2025-02-23T00:00:00"/>
    <s v="Headphones"/>
    <s v="Electronics"/>
    <n v="100"/>
    <n v="1"/>
    <x v="19"/>
    <s v="David Lee"/>
    <s v="Houston"/>
    <s v="Debit Card"/>
    <s v="Cancelled"/>
    <n v="2"/>
    <n v="2025"/>
    <s v="2025-02"/>
    <s v="Cancelled"/>
    <x v="1"/>
  </r>
  <r>
    <s v="ORD0069"/>
    <d v="2025-02-25T00:00:00"/>
    <s v="Refrigerator"/>
    <s v="Home Appliances"/>
    <n v="1200"/>
    <n v="4"/>
    <x v="15"/>
    <s v="David Lee"/>
    <s v="Boston"/>
    <s v="Gift Card"/>
    <s v="Pending"/>
    <n v="2"/>
    <n v="2025"/>
    <s v="2025-02"/>
    <s v="Pending"/>
    <x v="1"/>
  </r>
  <r>
    <s v="ORD0070"/>
    <d v="2025-03-10T00:00:00"/>
    <s v="Book"/>
    <s v="Books"/>
    <n v="15"/>
    <n v="1"/>
    <x v="16"/>
    <s v="Emily Johnson"/>
    <s v="Boston"/>
    <s v="Credit Card"/>
    <s v="Completed"/>
    <n v="3"/>
    <n v="2025"/>
    <s v="2025-03"/>
    <s v="Completed"/>
    <x v="1"/>
  </r>
  <r>
    <s v="ORD0071"/>
    <d v="2025-03-16T00:00:00"/>
    <s v="Smartwatch"/>
    <s v="Electronics"/>
    <n v="150"/>
    <n v="5"/>
    <x v="29"/>
    <s v="John Doe"/>
    <s v="Denver"/>
    <s v="Credit Card"/>
    <s v="Pending"/>
    <n v="3"/>
    <n v="2025"/>
    <s v="2025-03"/>
    <s v="Pending"/>
    <x v="1"/>
  </r>
  <r>
    <s v="ORD0072"/>
    <d v="2025-03-07T00:00:00"/>
    <s v="Laptop"/>
    <s v="Electronics"/>
    <n v="800"/>
    <n v="3"/>
    <x v="21"/>
    <s v="Daniel Harris"/>
    <s v="Houston"/>
    <s v="Credit Card"/>
    <s v="Pending"/>
    <n v="3"/>
    <n v="2025"/>
    <s v="2025-03"/>
    <s v="Pending"/>
    <x v="1"/>
  </r>
  <r>
    <s v="ORD0073"/>
    <d v="2025-02-20T00:00:00"/>
    <s v="Smartphone"/>
    <s v="Electronics"/>
    <n v="500"/>
    <n v="5"/>
    <x v="27"/>
    <s v="Emily Johnson"/>
    <s v="Miami"/>
    <s v="Credit Card"/>
    <s v="Cancelled"/>
    <n v="2"/>
    <n v="2025"/>
    <s v="2025-02"/>
    <s v="Cancelled"/>
    <x v="1"/>
  </r>
  <r>
    <s v="ORD0074"/>
    <d v="2025-03-25T00:00:00"/>
    <s v="Refrigerator"/>
    <s v="Home Appliances"/>
    <n v="1200"/>
    <n v="4"/>
    <x v="15"/>
    <s v="Jane Smith"/>
    <s v="Dallas"/>
    <s v="Gift Card"/>
    <s v="Cancelled"/>
    <n v="3"/>
    <n v="2025"/>
    <s v="2025-03"/>
    <s v="Cancelled"/>
    <x v="1"/>
  </r>
  <r>
    <s v="ORD0075"/>
    <d v="2025-02-26T00:00:00"/>
    <s v="Headphones"/>
    <s v="Electronics"/>
    <n v="100"/>
    <n v="2"/>
    <x v="30"/>
    <s v="Daniel Harris"/>
    <s v="Boston"/>
    <s v="PayPal"/>
    <s v="Pending"/>
    <n v="2"/>
    <n v="2025"/>
    <s v="2025-02"/>
    <s v="Pending"/>
    <x v="1"/>
  </r>
  <r>
    <s v="ORD0076"/>
    <d v="2025-02-24T00:00:00"/>
    <s v="Washing Machine"/>
    <s v="Home Appliances"/>
    <n v="600"/>
    <n v="1"/>
    <x v="5"/>
    <s v="Jane Smith"/>
    <s v="Dallas"/>
    <s v="Amazon Pay"/>
    <s v="Completed"/>
    <n v="2"/>
    <n v="2025"/>
    <s v="2025-02"/>
    <s v="Completed"/>
    <x v="1"/>
  </r>
  <r>
    <s v="ORD0077"/>
    <d v="2025-03-20T00:00:00"/>
    <s v="Headphones"/>
    <s v="Electronics"/>
    <n v="100"/>
    <n v="2"/>
    <x v="30"/>
    <s v="Daniel Harris"/>
    <s v="Houston"/>
    <s v="Credit Card"/>
    <s v="Completed"/>
    <n v="3"/>
    <n v="2025"/>
    <s v="2025-03"/>
    <s v="Completed"/>
    <x v="1"/>
  </r>
  <r>
    <s v="ORD0078"/>
    <d v="2025-03-18T00:00:00"/>
    <s v="Smartwatch"/>
    <s v="Electronics"/>
    <n v="150"/>
    <n v="2"/>
    <x v="14"/>
    <s v="Emma Clark"/>
    <s v="Los Angeles"/>
    <s v="Gift Card"/>
    <s v="Cancelled"/>
    <n v="3"/>
    <n v="2025"/>
    <s v="2025-03"/>
    <s v="Cancelled"/>
    <x v="1"/>
  </r>
  <r>
    <s v="ORD0079"/>
    <d v="2025-03-09T00:00:00"/>
    <s v="Running Shoes"/>
    <s v="Footwear"/>
    <n v="60"/>
    <n v="2"/>
    <x v="2"/>
    <s v="Emily Johnson"/>
    <s v="Denver"/>
    <s v="Gift Card"/>
    <s v="Cancelled"/>
    <n v="3"/>
    <n v="2025"/>
    <s v="2025-03"/>
    <s v="Cancelled"/>
    <x v="1"/>
  </r>
  <r>
    <s v="ORD0080"/>
    <d v="2025-02-23T00:00:00"/>
    <s v="Running Shoes"/>
    <s v="Footwear"/>
    <n v="60"/>
    <n v="4"/>
    <x v="25"/>
    <s v="Sophia Miller"/>
    <s v="San Francisco"/>
    <s v="Debit Card"/>
    <s v="Pending"/>
    <n v="2"/>
    <n v="2025"/>
    <s v="2025-02"/>
    <s v="Pending"/>
    <x v="1"/>
  </r>
  <r>
    <s v="ORD0081"/>
    <d v="2025-02-26T00:00:00"/>
    <s v="Headphones"/>
    <s v="Electronics"/>
    <n v="100"/>
    <n v="3"/>
    <x v="14"/>
    <s v="Michael Brown"/>
    <s v="Chicago"/>
    <s v="PayPal"/>
    <s v="Cancelled"/>
    <n v="2"/>
    <n v="2025"/>
    <s v="2025-02"/>
    <s v="Cancelled"/>
    <x v="1"/>
  </r>
  <r>
    <s v="ORD0082"/>
    <d v="2025-02-24T00:00:00"/>
    <s v="Smartphone"/>
    <s v="Electronics"/>
    <n v="500"/>
    <n v="3"/>
    <x v="31"/>
    <s v="Jane Smith"/>
    <s v="Seattle"/>
    <s v="Debit Card"/>
    <s v="Cancelled"/>
    <n v="2"/>
    <n v="2025"/>
    <s v="2025-02"/>
    <s v="Cancelled"/>
    <x v="1"/>
  </r>
  <r>
    <s v="ORD0083"/>
    <d v="2025-02-28T00:00:00"/>
    <s v="Washing Machine"/>
    <s v="Home Appliances"/>
    <n v="600"/>
    <n v="4"/>
    <x v="21"/>
    <s v="Emma Clark"/>
    <s v="Houston"/>
    <s v="Gift Card"/>
    <s v="Cancelled"/>
    <n v="2"/>
    <n v="2025"/>
    <s v="2025-02"/>
    <s v="Cancelled"/>
    <x v="1"/>
  </r>
  <r>
    <s v="ORD0084"/>
    <d v="2025-02-14T00:00:00"/>
    <s v="T-Shirt"/>
    <s v="Clothing"/>
    <n v="20"/>
    <n v="5"/>
    <x v="19"/>
    <s v="Olivia Wilson"/>
    <s v="Boston"/>
    <s v="PayPal"/>
    <s v="Completed"/>
    <n v="2"/>
    <n v="2025"/>
    <s v="2025-02"/>
    <s v="Completed"/>
    <x v="1"/>
  </r>
  <r>
    <s v="ORD0085"/>
    <d v="2025-02-06T00:00:00"/>
    <s v="Smartphone"/>
    <s v="Electronics"/>
    <n v="500"/>
    <n v="5"/>
    <x v="27"/>
    <s v="Michael Brown"/>
    <s v="Houston"/>
    <s v="PayPal"/>
    <s v="Completed"/>
    <n v="2"/>
    <n v="2025"/>
    <s v="2025-02"/>
    <s v="Completed"/>
    <x v="1"/>
  </r>
  <r>
    <s v="ORD0086"/>
    <d v="2025-02-25T00:00:00"/>
    <s v="Smartwatch"/>
    <s v="Electronics"/>
    <n v="150"/>
    <n v="5"/>
    <x v="29"/>
    <s v="Jane Smith"/>
    <s v="Dallas"/>
    <s v="PayPal"/>
    <s v="Cancelled"/>
    <n v="2"/>
    <n v="2025"/>
    <s v="2025-02"/>
    <s v="Cancelled"/>
    <x v="1"/>
  </r>
  <r>
    <s v="ORD0087"/>
    <d v="2025-03-13T00:00:00"/>
    <s v="Running Shoes"/>
    <s v="Footwear"/>
    <n v="60"/>
    <n v="5"/>
    <x v="14"/>
    <s v="Emma Clark"/>
    <s v="Miami"/>
    <s v="Debit Card"/>
    <s v="Completed"/>
    <n v="3"/>
    <n v="2025"/>
    <s v="2025-03"/>
    <s v="Completed"/>
    <x v="1"/>
  </r>
  <r>
    <s v="ORD0088"/>
    <d v="2025-02-06T00:00:00"/>
    <s v="Refrigerator"/>
    <s v="Home Appliances"/>
    <n v="1200"/>
    <n v="2"/>
    <x v="21"/>
    <s v="Chris White"/>
    <s v="Seattle"/>
    <s v="Debit Card"/>
    <s v="Pending"/>
    <n v="2"/>
    <n v="2025"/>
    <s v="2025-02"/>
    <s v="Pending"/>
    <x v="1"/>
  </r>
  <r>
    <s v="ORD0089"/>
    <d v="2025-03-26T00:00:00"/>
    <s v="Running Shoes"/>
    <s v="Footwear"/>
    <n v="60"/>
    <n v="5"/>
    <x v="14"/>
    <s v="Emma Clark"/>
    <s v="Los Angeles"/>
    <s v="Credit Card"/>
    <s v="Cancelled"/>
    <n v="3"/>
    <n v="2025"/>
    <s v="2025-03"/>
    <s v="Cancelled"/>
    <x v="1"/>
  </r>
  <r>
    <s v="ORD0090"/>
    <d v="2025-03-24T00:00:00"/>
    <s v="Smartwatch"/>
    <s v="Electronics"/>
    <n v="150"/>
    <n v="5"/>
    <x v="29"/>
    <s v="Emily Johnson"/>
    <s v="Houston"/>
    <s v="Amazon Pay"/>
    <s v="Completed"/>
    <n v="3"/>
    <n v="2025"/>
    <s v="2025-03"/>
    <s v="Completed"/>
    <x v="1"/>
  </r>
  <r>
    <s v="ORD0091"/>
    <d v="2025-02-03T00:00:00"/>
    <s v="Laptop"/>
    <s v="Electronics"/>
    <n v="800"/>
    <n v="4"/>
    <x v="32"/>
    <s v="Daniel Harris"/>
    <s v="Houston"/>
    <s v="Gift Card"/>
    <s v="Pending"/>
    <n v="2"/>
    <n v="2025"/>
    <s v="2025-02"/>
    <s v="Pending"/>
    <x v="1"/>
  </r>
  <r>
    <s v="ORD0092"/>
    <d v="2025-03-15T00:00:00"/>
    <s v="Smartphone"/>
    <s v="Electronics"/>
    <n v="500"/>
    <n v="2"/>
    <x v="13"/>
    <s v="Olivia Wilson"/>
    <s v="Boston"/>
    <s v="PayPal"/>
    <s v="Cancelled"/>
    <n v="3"/>
    <n v="2025"/>
    <s v="2025-03"/>
    <s v="Cancelled"/>
    <x v="1"/>
  </r>
  <r>
    <s v="ORD0093"/>
    <d v="2025-03-06T00:00:00"/>
    <s v="Refrigerator"/>
    <s v="Home Appliances"/>
    <n v="1200"/>
    <n v="5"/>
    <x v="33"/>
    <s v="David Lee"/>
    <s v="Denver"/>
    <s v="PayPal"/>
    <s v="Cancelled"/>
    <n v="3"/>
    <n v="2025"/>
    <s v="2025-03"/>
    <s v="Cancelled"/>
    <x v="1"/>
  </r>
  <r>
    <s v="ORD0094"/>
    <d v="2025-03-25T00:00:00"/>
    <s v="Jeans"/>
    <s v="Clothing"/>
    <n v="40"/>
    <n v="5"/>
    <x v="30"/>
    <s v="Daniel Harris"/>
    <s v="Seattle"/>
    <s v="Credit Card"/>
    <s v="Cancelled"/>
    <n v="3"/>
    <n v="2025"/>
    <s v="2025-03"/>
    <s v="Cancelled"/>
    <x v="1"/>
  </r>
  <r>
    <s v="ORD0095"/>
    <d v="2025-02-17T00:00:00"/>
    <s v="Smartwatch"/>
    <s v="Electronics"/>
    <n v="150"/>
    <n v="4"/>
    <x v="5"/>
    <s v="Chris White"/>
    <s v="New York"/>
    <s v="Debit Card"/>
    <s v="Cancelled"/>
    <n v="2"/>
    <n v="2025"/>
    <s v="2025-02"/>
    <s v="Cancelled"/>
    <x v="1"/>
  </r>
  <r>
    <s v="ORD0096"/>
    <d v="2025-03-30T00:00:00"/>
    <s v="Smartwatch"/>
    <s v="Electronics"/>
    <n v="150"/>
    <n v="3"/>
    <x v="3"/>
    <s v="Jane Smith"/>
    <s v="New York"/>
    <s v="Amazon Pay"/>
    <s v="Completed"/>
    <n v="3"/>
    <n v="2025"/>
    <s v="2025-03"/>
    <s v="Completed"/>
    <x v="1"/>
  </r>
  <r>
    <s v="ORD0097"/>
    <d v="2025-03-25T00:00:00"/>
    <s v="Book"/>
    <s v="Books"/>
    <n v="15"/>
    <n v="5"/>
    <x v="18"/>
    <s v="Olivia Wilson"/>
    <s v="Chicago"/>
    <s v="Amazon Pay"/>
    <s v="Pending"/>
    <n v="3"/>
    <n v="2025"/>
    <s v="2025-03"/>
    <s v="Pending"/>
    <x v="1"/>
  </r>
  <r>
    <s v="ORD0098"/>
    <d v="2025-02-14T00:00:00"/>
    <s v="Smartwatch"/>
    <s v="Electronics"/>
    <n v="150"/>
    <n v="2"/>
    <x v="14"/>
    <s v="Chris White"/>
    <s v="Miami"/>
    <s v="PayPal"/>
    <s v="Pending"/>
    <n v="2"/>
    <n v="2025"/>
    <s v="2025-02"/>
    <s v="Pending"/>
    <x v="1"/>
  </r>
  <r>
    <s v="ORD0099"/>
    <d v="2025-02-18T00:00:00"/>
    <s v="Washing Machine"/>
    <s v="Home Appliances"/>
    <n v="600"/>
    <n v="5"/>
    <x v="34"/>
    <s v="Michael Brown"/>
    <s v="Seattle"/>
    <s v="Debit Card"/>
    <s v="Completed"/>
    <n v="2"/>
    <n v="2025"/>
    <s v="2025-02"/>
    <s v="Completed"/>
    <x v="1"/>
  </r>
  <r>
    <s v="ORD0100"/>
    <d v="2025-02-13T00:00:00"/>
    <s v="Running Shoes"/>
    <s v="Footwear"/>
    <n v="60"/>
    <n v="1"/>
    <x v="7"/>
    <s v="Jane Smith"/>
    <s v="Houston"/>
    <s v="Gift Card"/>
    <s v="Cancelled"/>
    <n v="2"/>
    <n v="2025"/>
    <s v="2025-02"/>
    <s v="Cancelled"/>
    <x v="1"/>
  </r>
  <r>
    <s v="ORD0101"/>
    <d v="2025-02-20T00:00:00"/>
    <s v="Book"/>
    <s v="Books"/>
    <n v="15"/>
    <n v="5"/>
    <x v="18"/>
    <s v="John Doe"/>
    <s v="Denver"/>
    <s v="PayPal"/>
    <s v="Pending"/>
    <n v="2"/>
    <n v="2025"/>
    <s v="2025-02"/>
    <s v="Pending"/>
    <x v="1"/>
  </r>
  <r>
    <s v="ORD0102"/>
    <d v="2025-02-28T00:00:00"/>
    <s v="Smartphone"/>
    <s v="Electronics"/>
    <n v="500"/>
    <n v="2"/>
    <x v="13"/>
    <s v="David Lee"/>
    <s v="Boston"/>
    <s v="PayPal"/>
    <s v="Pending"/>
    <n v="2"/>
    <n v="2025"/>
    <s v="2025-02"/>
    <s v="Pending"/>
    <x v="1"/>
  </r>
  <r>
    <s v="ORD0103"/>
    <d v="2025-03-14T00:00:00"/>
    <s v="T-Shirt"/>
    <s v="Clothing"/>
    <n v="20"/>
    <n v="2"/>
    <x v="24"/>
    <s v="Michael Brown"/>
    <s v="Chicago"/>
    <s v="PayPal"/>
    <s v="Pending"/>
    <n v="3"/>
    <n v="2025"/>
    <s v="2025-03"/>
    <s v="Pending"/>
    <x v="1"/>
  </r>
  <r>
    <s v="ORD0104"/>
    <d v="2025-02-22T00:00:00"/>
    <s v="Jeans"/>
    <s v="Clothing"/>
    <n v="40"/>
    <n v="5"/>
    <x v="30"/>
    <s v="Jane Smith"/>
    <s v="Dallas"/>
    <s v="Debit Card"/>
    <s v="Pending"/>
    <n v="2"/>
    <n v="2025"/>
    <s v="2025-02"/>
    <s v="Pending"/>
    <x v="1"/>
  </r>
  <r>
    <s v="ORD0105"/>
    <d v="2025-03-16T00:00:00"/>
    <s v="Jeans"/>
    <s v="Clothing"/>
    <n v="40"/>
    <n v="1"/>
    <x v="24"/>
    <s v="Jane Smith"/>
    <s v="Boston"/>
    <s v="Debit Card"/>
    <s v="Pending"/>
    <n v="3"/>
    <n v="2025"/>
    <s v="2025-03"/>
    <s v="Pending"/>
    <x v="1"/>
  </r>
  <r>
    <s v="ORD0106"/>
    <d v="2025-03-15T00:00:00"/>
    <s v="T-Shirt"/>
    <s v="Clothing"/>
    <n v="20"/>
    <n v="3"/>
    <x v="7"/>
    <s v="Olivia Wilson"/>
    <s v="Chicago"/>
    <s v="PayPal"/>
    <s v="Pending"/>
    <n v="3"/>
    <n v="2025"/>
    <s v="2025-03"/>
    <s v="Pending"/>
    <x v="1"/>
  </r>
  <r>
    <s v="ORD0107"/>
    <d v="2025-03-19T00:00:00"/>
    <s v="Jeans"/>
    <s v="Clothing"/>
    <n v="40"/>
    <n v="3"/>
    <x v="2"/>
    <s v="Olivia Wilson"/>
    <s v="Dallas"/>
    <s v="Credit Card"/>
    <s v="Cancelled"/>
    <n v="3"/>
    <n v="2025"/>
    <s v="2025-03"/>
    <s v="Cancelled"/>
    <x v="1"/>
  </r>
  <r>
    <s v="ORD0108"/>
    <d v="2025-03-16T00:00:00"/>
    <s v="Headphones"/>
    <s v="Electronics"/>
    <n v="100"/>
    <n v="2"/>
    <x v="30"/>
    <s v="Daniel Harris"/>
    <s v="Miami"/>
    <s v="PayPal"/>
    <s v="Pending"/>
    <n v="3"/>
    <n v="2025"/>
    <s v="2025-03"/>
    <s v="Pending"/>
    <x v="1"/>
  </r>
  <r>
    <s v="ORD0109"/>
    <d v="2025-03-17T00:00:00"/>
    <s v="Jeans"/>
    <s v="Clothing"/>
    <n v="40"/>
    <n v="5"/>
    <x v="30"/>
    <s v="Michael Brown"/>
    <s v="New York"/>
    <s v="PayPal"/>
    <s v="Completed"/>
    <n v="3"/>
    <n v="2025"/>
    <s v="2025-03"/>
    <s v="Completed"/>
    <x v="1"/>
  </r>
  <r>
    <s v="ORD0110"/>
    <d v="2025-02-18T00:00:00"/>
    <s v="Smartphone"/>
    <s v="Electronics"/>
    <n v="500"/>
    <n v="5"/>
    <x v="27"/>
    <s v="Olivia Wilson"/>
    <s v="Dallas"/>
    <s v="Amazon Pay"/>
    <s v="Pending"/>
    <n v="2"/>
    <n v="2025"/>
    <s v="2025-02"/>
    <s v="Pending"/>
    <x v="1"/>
  </r>
  <r>
    <s v="ORD0111"/>
    <d v="2025-03-31T00:00:00"/>
    <s v="Laptop"/>
    <s v="Electronics"/>
    <n v="800"/>
    <n v="4"/>
    <x v="32"/>
    <s v="Emma Clark"/>
    <s v="Los Angeles"/>
    <s v="Credit Card"/>
    <s v="Completed"/>
    <n v="3"/>
    <n v="2025"/>
    <s v="2025-03"/>
    <s v="Completed"/>
    <x v="1"/>
  </r>
  <r>
    <s v="ORD0112"/>
    <d v="2025-03-06T00:00:00"/>
    <s v="Washing Machine"/>
    <s v="Home Appliances"/>
    <n v="600"/>
    <n v="2"/>
    <x v="12"/>
    <s v="David Lee"/>
    <s v="Dallas"/>
    <s v="Gift Card"/>
    <s v="Cancelled"/>
    <n v="3"/>
    <n v="2025"/>
    <s v="2025-03"/>
    <s v="Cancelled"/>
    <x v="1"/>
  </r>
  <r>
    <s v="ORD0113"/>
    <d v="2025-03-19T00:00:00"/>
    <s v="Book"/>
    <s v="Books"/>
    <n v="15"/>
    <n v="5"/>
    <x v="18"/>
    <s v="David Lee"/>
    <s v="San Francisco"/>
    <s v="Debit Card"/>
    <s v="Pending"/>
    <n v="3"/>
    <n v="2025"/>
    <s v="2025-03"/>
    <s v="Pending"/>
    <x v="1"/>
  </r>
  <r>
    <s v="ORD0114"/>
    <d v="2025-02-23T00:00:00"/>
    <s v="Running Shoes"/>
    <s v="Footwear"/>
    <n v="60"/>
    <n v="1"/>
    <x v="7"/>
    <s v="Emma Clark"/>
    <s v="Houston"/>
    <s v="Credit Card"/>
    <s v="Pending"/>
    <n v="2"/>
    <n v="2025"/>
    <s v="2025-02"/>
    <s v="Pending"/>
    <x v="1"/>
  </r>
  <r>
    <s v="ORD0115"/>
    <d v="2025-03-21T00:00:00"/>
    <s v="Running Shoes"/>
    <s v="Footwear"/>
    <n v="60"/>
    <n v="3"/>
    <x v="0"/>
    <s v="Olivia Wilson"/>
    <s v="Miami"/>
    <s v="Amazon Pay"/>
    <s v="Completed"/>
    <n v="3"/>
    <n v="2025"/>
    <s v="2025-03"/>
    <s v="Completed"/>
    <x v="1"/>
  </r>
  <r>
    <s v="ORD0116"/>
    <d v="2025-03-19T00:00:00"/>
    <s v="Laptop"/>
    <s v="Electronics"/>
    <n v="800"/>
    <n v="4"/>
    <x v="32"/>
    <s v="Emma Clark"/>
    <s v="Los Angeles"/>
    <s v="Amazon Pay"/>
    <s v="Completed"/>
    <n v="3"/>
    <n v="2025"/>
    <s v="2025-03"/>
    <s v="Completed"/>
    <x v="1"/>
  </r>
  <r>
    <s v="ORD0117"/>
    <d v="2025-02-27T00:00:00"/>
    <s v="T-Shirt"/>
    <s v="Clothing"/>
    <n v="20"/>
    <n v="1"/>
    <x v="4"/>
    <s v="Daniel Harris"/>
    <s v="New York"/>
    <s v="Credit Card"/>
    <s v="Completed"/>
    <n v="2"/>
    <n v="2025"/>
    <s v="2025-02"/>
    <s v="Completed"/>
    <x v="1"/>
  </r>
  <r>
    <s v="ORD0118"/>
    <d v="2025-02-10T00:00:00"/>
    <s v="Headphones"/>
    <s v="Electronics"/>
    <n v="100"/>
    <n v="5"/>
    <x v="6"/>
    <s v="John Doe"/>
    <s v="Houston"/>
    <s v="Amazon Pay"/>
    <s v="Completed"/>
    <n v="2"/>
    <n v="2025"/>
    <s v="2025-02"/>
    <s v="Completed"/>
    <x v="1"/>
  </r>
  <r>
    <s v="ORD0119"/>
    <d v="2025-03-16T00:00:00"/>
    <s v="Smartphone"/>
    <s v="Electronics"/>
    <n v="500"/>
    <n v="2"/>
    <x v="13"/>
    <s v="Chris White"/>
    <s v="Chicago"/>
    <s v="PayPal"/>
    <s v="Pending"/>
    <n v="3"/>
    <n v="2025"/>
    <s v="2025-03"/>
    <s v="Pending"/>
    <x v="1"/>
  </r>
  <r>
    <s v="ORD0120"/>
    <d v="2025-02-16T00:00:00"/>
    <s v="Laptop"/>
    <s v="Electronics"/>
    <n v="800"/>
    <n v="5"/>
    <x v="26"/>
    <s v="Emily Johnson"/>
    <s v="Denver"/>
    <s v="PayPal"/>
    <s v="Completed"/>
    <n v="2"/>
    <n v="2025"/>
    <s v="2025-02"/>
    <s v="Completed"/>
    <x v="1"/>
  </r>
  <r>
    <s v="ORD0121"/>
    <d v="2025-02-18T00:00:00"/>
    <s v="Smartphone"/>
    <s v="Electronics"/>
    <n v="500"/>
    <n v="1"/>
    <x v="6"/>
    <s v="John Doe"/>
    <s v="Dallas"/>
    <s v="Gift Card"/>
    <s v="Pending"/>
    <n v="2"/>
    <n v="2025"/>
    <s v="2025-02"/>
    <s v="Pending"/>
    <x v="1"/>
  </r>
  <r>
    <s v="ORD0122"/>
    <d v="2025-03-28T00:00:00"/>
    <s v="Laptop"/>
    <s v="Electronics"/>
    <n v="800"/>
    <n v="3"/>
    <x v="21"/>
    <s v="John Doe"/>
    <s v="Miami"/>
    <s v="Credit Card"/>
    <s v="Cancelled"/>
    <n v="3"/>
    <n v="2025"/>
    <s v="2025-03"/>
    <s v="Cancelled"/>
    <x v="1"/>
  </r>
  <r>
    <s v="ORD0123"/>
    <d v="2025-02-23T00:00:00"/>
    <s v="Book"/>
    <s v="Books"/>
    <n v="15"/>
    <n v="3"/>
    <x v="28"/>
    <s v="Chris White"/>
    <s v="Boston"/>
    <s v="Gift Card"/>
    <s v="Cancelled"/>
    <n v="2"/>
    <n v="2025"/>
    <s v="2025-02"/>
    <s v="Cancelled"/>
    <x v="1"/>
  </r>
  <r>
    <s v="ORD0124"/>
    <d v="2025-02-10T00:00:00"/>
    <s v="Book"/>
    <s v="Books"/>
    <n v="15"/>
    <n v="1"/>
    <x v="16"/>
    <s v="Emma Clark"/>
    <s v="Seattle"/>
    <s v="Gift Card"/>
    <s v="Pending"/>
    <n v="2"/>
    <n v="2025"/>
    <s v="2025-02"/>
    <s v="Pending"/>
    <x v="1"/>
  </r>
  <r>
    <s v="ORD0125"/>
    <d v="2025-02-23T00:00:00"/>
    <s v="Smartphone"/>
    <s v="Electronics"/>
    <n v="500"/>
    <n v="1"/>
    <x v="6"/>
    <s v="Emily Johnson"/>
    <s v="Denver"/>
    <s v="Amazon Pay"/>
    <s v="Completed"/>
    <n v="2"/>
    <n v="2025"/>
    <s v="2025-02"/>
    <s v="Completed"/>
    <x v="1"/>
  </r>
  <r>
    <s v="ORD0126"/>
    <d v="2025-02-04T00:00:00"/>
    <s v="Refrigerator"/>
    <s v="Home Appliances"/>
    <n v="1200"/>
    <n v="5"/>
    <x v="33"/>
    <s v="Olivia Wilson"/>
    <s v="Chicago"/>
    <s v="Gift Card"/>
    <s v="Pending"/>
    <n v="2"/>
    <n v="2025"/>
    <s v="2025-02"/>
    <s v="Pending"/>
    <x v="1"/>
  </r>
  <r>
    <s v="ORD0127"/>
    <d v="2025-02-18T00:00:00"/>
    <s v="T-Shirt"/>
    <s v="Clothing"/>
    <n v="20"/>
    <n v="3"/>
    <x v="7"/>
    <s v="Emma Clark"/>
    <s v="Dallas"/>
    <s v="Debit Card"/>
    <s v="Completed"/>
    <n v="2"/>
    <n v="2025"/>
    <s v="2025-02"/>
    <s v="Completed"/>
    <x v="1"/>
  </r>
  <r>
    <s v="ORD0128"/>
    <d v="2025-03-23T00:00:00"/>
    <s v="Smartwatch"/>
    <s v="Electronics"/>
    <n v="150"/>
    <n v="2"/>
    <x v="14"/>
    <s v="Emily Johnson"/>
    <s v="Dallas"/>
    <s v="PayPal"/>
    <s v="Cancelled"/>
    <n v="3"/>
    <n v="2025"/>
    <s v="2025-03"/>
    <s v="Cancelled"/>
    <x v="1"/>
  </r>
  <r>
    <s v="ORD0129"/>
    <d v="2025-02-26T00:00:00"/>
    <s v="Jeans"/>
    <s v="Clothing"/>
    <n v="40"/>
    <n v="5"/>
    <x v="30"/>
    <s v="Emily Johnson"/>
    <s v="New York"/>
    <s v="Debit Card"/>
    <s v="Pending"/>
    <n v="2"/>
    <n v="2025"/>
    <s v="2025-02"/>
    <s v="Pending"/>
    <x v="1"/>
  </r>
  <r>
    <s v="ORD0130"/>
    <d v="2025-02-10T00:00:00"/>
    <s v="Smartwatch"/>
    <s v="Electronics"/>
    <n v="150"/>
    <n v="5"/>
    <x v="29"/>
    <s v="David Lee"/>
    <s v="Boston"/>
    <s v="PayPal"/>
    <s v="Completed"/>
    <n v="2"/>
    <n v="2025"/>
    <s v="2025-02"/>
    <s v="Completed"/>
    <x v="1"/>
  </r>
  <r>
    <s v="ORD0131"/>
    <d v="2025-02-26T00:00:00"/>
    <s v="Jeans"/>
    <s v="Clothing"/>
    <n v="40"/>
    <n v="2"/>
    <x v="23"/>
    <s v="Daniel Harris"/>
    <s v="Chicago"/>
    <s v="Credit Card"/>
    <s v="Pending"/>
    <n v="2"/>
    <n v="2025"/>
    <s v="2025-02"/>
    <s v="Pending"/>
    <x v="1"/>
  </r>
  <r>
    <s v="ORD0132"/>
    <d v="2025-03-07T00:00:00"/>
    <s v="Smartphone"/>
    <s v="Electronics"/>
    <n v="500"/>
    <n v="2"/>
    <x v="13"/>
    <s v="Olivia Wilson"/>
    <s v="Chicago"/>
    <s v="Debit Card"/>
    <s v="Pending"/>
    <n v="3"/>
    <n v="2025"/>
    <s v="2025-03"/>
    <s v="Pending"/>
    <x v="1"/>
  </r>
  <r>
    <s v="ORD0133"/>
    <d v="2025-02-23T00:00:00"/>
    <s v="Laptop"/>
    <s v="Electronics"/>
    <n v="800"/>
    <n v="1"/>
    <x v="35"/>
    <s v="Emily Johnson"/>
    <s v="New York"/>
    <s v="Amazon Pay"/>
    <s v="Pending"/>
    <n v="2"/>
    <n v="2025"/>
    <s v="2025-02"/>
    <s v="Pending"/>
    <x v="1"/>
  </r>
  <r>
    <s v="ORD0134"/>
    <d v="2025-02-07T00:00:00"/>
    <s v="Smartphone"/>
    <s v="Electronics"/>
    <n v="500"/>
    <n v="5"/>
    <x v="27"/>
    <s v="David Lee"/>
    <s v="Chicago"/>
    <s v="Gift Card"/>
    <s v="Pending"/>
    <n v="2"/>
    <n v="2025"/>
    <s v="2025-02"/>
    <s v="Pending"/>
    <x v="1"/>
  </r>
  <r>
    <s v="ORD0135"/>
    <d v="2025-02-10T00:00:00"/>
    <s v="T-Shirt"/>
    <s v="Clothing"/>
    <n v="20"/>
    <n v="1"/>
    <x v="4"/>
    <s v="Olivia Wilson"/>
    <s v="Miami"/>
    <s v="Credit Card"/>
    <s v="Pending"/>
    <n v="2"/>
    <n v="2025"/>
    <s v="2025-02"/>
    <s v="Pending"/>
    <x v="1"/>
  </r>
  <r>
    <s v="ORD0136"/>
    <d v="2025-02-11T00:00:00"/>
    <s v="Refrigerator"/>
    <s v="Home Appliances"/>
    <n v="1200"/>
    <n v="2"/>
    <x v="21"/>
    <s v="Daniel Harris"/>
    <s v="San Francisco"/>
    <s v="PayPal"/>
    <s v="Cancelled"/>
    <n v="2"/>
    <n v="2025"/>
    <s v="2025-02"/>
    <s v="Cancelled"/>
    <x v="1"/>
  </r>
  <r>
    <s v="ORD0137"/>
    <d v="2025-03-20T00:00:00"/>
    <s v="Smartwatch"/>
    <s v="Electronics"/>
    <n v="150"/>
    <n v="3"/>
    <x v="3"/>
    <s v="Sophia Miller"/>
    <s v="San Francisco"/>
    <s v="Debit Card"/>
    <s v="Completed"/>
    <n v="3"/>
    <n v="2025"/>
    <s v="2025-03"/>
    <s v="Completed"/>
    <x v="1"/>
  </r>
  <r>
    <s v="ORD0138"/>
    <d v="2025-02-11T00:00:00"/>
    <s v="Smartwatch"/>
    <s v="Electronics"/>
    <n v="150"/>
    <n v="5"/>
    <x v="29"/>
    <s v="John Doe"/>
    <s v="Los Angeles"/>
    <s v="Credit Card"/>
    <s v="Cancelled"/>
    <n v="2"/>
    <n v="2025"/>
    <s v="2025-02"/>
    <s v="Cancelled"/>
    <x v="1"/>
  </r>
  <r>
    <s v="ORD0139"/>
    <d v="2025-03-18T00:00:00"/>
    <s v="Laptop"/>
    <s v="Electronics"/>
    <n v="800"/>
    <n v="2"/>
    <x v="10"/>
    <s v="Michael Brown"/>
    <s v="Denver"/>
    <s v="PayPal"/>
    <s v="Cancelled"/>
    <n v="3"/>
    <n v="2025"/>
    <s v="2025-03"/>
    <s v="Cancelled"/>
    <x v="1"/>
  </r>
  <r>
    <s v="ORD0140"/>
    <d v="2025-03-19T00:00:00"/>
    <s v="Smartwatch"/>
    <s v="Electronics"/>
    <n v="150"/>
    <n v="2"/>
    <x v="14"/>
    <s v="Olivia Wilson"/>
    <s v="Miami"/>
    <s v="Debit Card"/>
    <s v="Completed"/>
    <n v="3"/>
    <n v="2025"/>
    <s v="2025-03"/>
    <s v="Completed"/>
    <x v="1"/>
  </r>
  <r>
    <s v="ORD0141"/>
    <d v="2025-03-21T00:00:00"/>
    <s v="Smartphone"/>
    <s v="Electronics"/>
    <n v="500"/>
    <n v="2"/>
    <x v="13"/>
    <s v="John Doe"/>
    <s v="Miami"/>
    <s v="PayPal"/>
    <s v="Completed"/>
    <n v="3"/>
    <n v="2025"/>
    <s v="2025-03"/>
    <s v="Completed"/>
    <x v="1"/>
  </r>
  <r>
    <s v="ORD0142"/>
    <d v="2025-03-15T00:00:00"/>
    <s v="Smartphone"/>
    <s v="Electronics"/>
    <n v="500"/>
    <n v="3"/>
    <x v="31"/>
    <s v="Sophia Miller"/>
    <s v="Miami"/>
    <s v="Gift Card"/>
    <s v="Completed"/>
    <n v="3"/>
    <n v="2025"/>
    <s v="2025-03"/>
    <s v="Completed"/>
    <x v="1"/>
  </r>
  <r>
    <s v="ORD0143"/>
    <d v="2025-03-31T00:00:00"/>
    <s v="Refrigerator"/>
    <s v="Home Appliances"/>
    <n v="1200"/>
    <n v="2"/>
    <x v="21"/>
    <s v="Jane Smith"/>
    <s v="Dallas"/>
    <s v="PayPal"/>
    <s v="Cancelled"/>
    <n v="3"/>
    <n v="2025"/>
    <s v="2025-03"/>
    <s v="Cancelled"/>
    <x v="1"/>
  </r>
  <r>
    <s v="ORD0144"/>
    <d v="2025-02-27T00:00:00"/>
    <s v="Jeans"/>
    <s v="Clothing"/>
    <n v="40"/>
    <n v="2"/>
    <x v="23"/>
    <s v="Michael Brown"/>
    <s v="Los Angeles"/>
    <s v="Gift Card"/>
    <s v="Cancelled"/>
    <n v="2"/>
    <n v="2025"/>
    <s v="2025-02"/>
    <s v="Cancelled"/>
    <x v="1"/>
  </r>
  <r>
    <s v="ORD0145"/>
    <d v="2025-03-08T00:00:00"/>
    <s v="Smartwatch"/>
    <s v="Electronics"/>
    <n v="150"/>
    <n v="2"/>
    <x v="14"/>
    <s v="Michael Brown"/>
    <s v="Seattle"/>
    <s v="Debit Card"/>
    <s v="Cancelled"/>
    <n v="3"/>
    <n v="2025"/>
    <s v="2025-03"/>
    <s v="Cancelled"/>
    <x v="1"/>
  </r>
  <r>
    <s v="ORD0146"/>
    <d v="2025-03-25T00:00:00"/>
    <s v="Smartwatch"/>
    <s v="Electronics"/>
    <n v="150"/>
    <n v="2"/>
    <x v="14"/>
    <s v="Emma Clark"/>
    <s v="Boston"/>
    <s v="Debit Card"/>
    <s v="Completed"/>
    <n v="3"/>
    <n v="2025"/>
    <s v="2025-03"/>
    <s v="Completed"/>
    <x v="1"/>
  </r>
  <r>
    <s v="ORD0147"/>
    <d v="2025-02-05T00:00:00"/>
    <s v="Running Shoes"/>
    <s v="Footwear"/>
    <n v="60"/>
    <n v="5"/>
    <x v="14"/>
    <s v="Jane Smith"/>
    <s v="Dallas"/>
    <s v="PayPal"/>
    <s v="Pending"/>
    <n v="2"/>
    <n v="2025"/>
    <s v="2025-02"/>
    <s v="Pending"/>
    <x v="1"/>
  </r>
  <r>
    <s v="ORD0148"/>
    <d v="2025-02-06T00:00:00"/>
    <s v="Headphones"/>
    <s v="Electronics"/>
    <n v="100"/>
    <n v="4"/>
    <x v="1"/>
    <s v="Emily Johnson"/>
    <s v="Los Angeles"/>
    <s v="Amazon Pay"/>
    <s v="Cancelled"/>
    <n v="2"/>
    <n v="2025"/>
    <s v="2025-02"/>
    <s v="Cancelled"/>
    <x v="1"/>
  </r>
  <r>
    <s v="ORD0149"/>
    <d v="2025-03-20T00:00:00"/>
    <s v="Running Shoes"/>
    <s v="Footwear"/>
    <n v="60"/>
    <n v="3"/>
    <x v="0"/>
    <s v="Michael Brown"/>
    <s v="New York"/>
    <s v="Gift Card"/>
    <s v="Pending"/>
    <n v="3"/>
    <n v="2025"/>
    <s v="2025-03"/>
    <s v="Pending"/>
    <x v="1"/>
  </r>
  <r>
    <s v="ORD0150"/>
    <d v="2025-02-08T00:00:00"/>
    <s v="Book"/>
    <s v="Books"/>
    <n v="15"/>
    <n v="4"/>
    <x v="7"/>
    <s v="Daniel Harris"/>
    <s v="Chicago"/>
    <s v="Gift Card"/>
    <s v="Cancelled"/>
    <n v="2"/>
    <n v="2025"/>
    <s v="2025-02"/>
    <s v="Cancelled"/>
    <x v="1"/>
  </r>
  <r>
    <s v="ORD0151"/>
    <d v="2025-03-29T00:00:00"/>
    <s v="Washing Machine"/>
    <s v="Home Appliances"/>
    <n v="600"/>
    <n v="4"/>
    <x v="21"/>
    <s v="Jane Smith"/>
    <s v="Los Angeles"/>
    <s v="Amazon Pay"/>
    <s v="Pending"/>
    <n v="3"/>
    <n v="2025"/>
    <s v="2025-03"/>
    <s v="Pending"/>
    <x v="1"/>
  </r>
  <r>
    <s v="ORD0152"/>
    <d v="2025-02-28T00:00:00"/>
    <s v="Smartwatch"/>
    <s v="Electronics"/>
    <n v="150"/>
    <n v="1"/>
    <x v="22"/>
    <s v="John Doe"/>
    <s v="Seattle"/>
    <s v="Gift Card"/>
    <s v="Completed"/>
    <n v="2"/>
    <n v="2025"/>
    <s v="2025-02"/>
    <s v="Completed"/>
    <x v="1"/>
  </r>
  <r>
    <s v="ORD0153"/>
    <d v="2025-02-23T00:00:00"/>
    <s v="Smartwatch"/>
    <s v="Electronics"/>
    <n v="150"/>
    <n v="5"/>
    <x v="29"/>
    <s v="Sophia Miller"/>
    <s v="San Francisco"/>
    <s v="PayPal"/>
    <s v="Pending"/>
    <n v="2"/>
    <n v="2025"/>
    <s v="2025-02"/>
    <s v="Pending"/>
    <x v="1"/>
  </r>
  <r>
    <s v="ORD0154"/>
    <d v="2025-03-01T00:00:00"/>
    <s v="Headphones"/>
    <s v="Electronics"/>
    <n v="100"/>
    <n v="2"/>
    <x v="30"/>
    <s v="John Doe"/>
    <s v="Denver"/>
    <s v="Debit Card"/>
    <s v="Completed"/>
    <n v="3"/>
    <n v="2025"/>
    <s v="2025-03"/>
    <s v="Completed"/>
    <x v="1"/>
  </r>
  <r>
    <s v="ORD0155"/>
    <d v="2025-02-05T00:00:00"/>
    <s v="Refrigerator"/>
    <s v="Home Appliances"/>
    <n v="1200"/>
    <n v="4"/>
    <x v="15"/>
    <s v="Sophia Miller"/>
    <s v="Seattle"/>
    <s v="Credit Card"/>
    <s v="Pending"/>
    <n v="2"/>
    <n v="2025"/>
    <s v="2025-02"/>
    <s v="Pending"/>
    <x v="1"/>
  </r>
  <r>
    <s v="ORD0156"/>
    <d v="2025-03-16T00:00:00"/>
    <s v="Smartwatch"/>
    <s v="Electronics"/>
    <n v="150"/>
    <n v="4"/>
    <x v="5"/>
    <s v="Olivia Wilson"/>
    <s v="Miami"/>
    <s v="PayPal"/>
    <s v="Cancelled"/>
    <n v="3"/>
    <n v="2025"/>
    <s v="2025-03"/>
    <s v="Cancelled"/>
    <x v="1"/>
  </r>
  <r>
    <s v="ORD0157"/>
    <d v="2025-02-08T00:00:00"/>
    <s v="Smartphone"/>
    <s v="Electronics"/>
    <n v="500"/>
    <n v="3"/>
    <x v="31"/>
    <s v="Sophia Miller"/>
    <s v="Denver"/>
    <s v="Credit Card"/>
    <s v="Pending"/>
    <n v="2"/>
    <n v="2025"/>
    <s v="2025-02"/>
    <s v="Pending"/>
    <x v="1"/>
  </r>
  <r>
    <s v="ORD0158"/>
    <d v="2025-02-24T00:00:00"/>
    <s v="Laptop"/>
    <s v="Electronics"/>
    <n v="800"/>
    <n v="3"/>
    <x v="21"/>
    <s v="Chris White"/>
    <s v="Miami"/>
    <s v="Debit Card"/>
    <s v="Pending"/>
    <n v="2"/>
    <n v="2025"/>
    <s v="2025-02"/>
    <s v="Pending"/>
    <x v="1"/>
  </r>
  <r>
    <s v="ORD0159"/>
    <d v="2025-02-16T00:00:00"/>
    <s v="T-Shirt"/>
    <s v="Clothing"/>
    <n v="20"/>
    <n v="2"/>
    <x v="24"/>
    <s v="David Lee"/>
    <s v="Dallas"/>
    <s v="Gift Card"/>
    <s v="Cancelled"/>
    <n v="2"/>
    <n v="2025"/>
    <s v="2025-02"/>
    <s v="Cancelled"/>
    <x v="1"/>
  </r>
  <r>
    <s v="ORD0160"/>
    <d v="2025-02-06T00:00:00"/>
    <s v="Washing Machine"/>
    <s v="Home Appliances"/>
    <n v="600"/>
    <n v="3"/>
    <x v="11"/>
    <s v="Olivia Wilson"/>
    <s v="Denver"/>
    <s v="Gift Card"/>
    <s v="Cancelled"/>
    <n v="2"/>
    <n v="2025"/>
    <s v="2025-02"/>
    <s v="Cancelled"/>
    <x v="1"/>
  </r>
  <r>
    <s v="ORD0161"/>
    <d v="2025-02-22T00:00:00"/>
    <s v="Headphones"/>
    <s v="Electronics"/>
    <n v="100"/>
    <n v="1"/>
    <x v="19"/>
    <s v="Emily Johnson"/>
    <s v="Los Angeles"/>
    <s v="Credit Card"/>
    <s v="Completed"/>
    <n v="2"/>
    <n v="2025"/>
    <s v="2025-02"/>
    <s v="Completed"/>
    <x v="1"/>
  </r>
  <r>
    <s v="ORD0162"/>
    <d v="2025-02-09T00:00:00"/>
    <s v="Smartphone"/>
    <s v="Electronics"/>
    <n v="500"/>
    <n v="2"/>
    <x v="13"/>
    <s v="Olivia Wilson"/>
    <s v="Chicago"/>
    <s v="Credit Card"/>
    <s v="Completed"/>
    <n v="2"/>
    <n v="2025"/>
    <s v="2025-02"/>
    <s v="Completed"/>
    <x v="1"/>
  </r>
  <r>
    <s v="ORD0163"/>
    <d v="2025-02-20T00:00:00"/>
    <s v="Running Shoes"/>
    <s v="Footwear"/>
    <n v="60"/>
    <n v="2"/>
    <x v="2"/>
    <s v="Chris White"/>
    <s v="Houston"/>
    <s v="PayPal"/>
    <s v="Completed"/>
    <n v="2"/>
    <n v="2025"/>
    <s v="2025-02"/>
    <s v="Completed"/>
    <x v="1"/>
  </r>
  <r>
    <s v="ORD0164"/>
    <d v="2025-02-25T00:00:00"/>
    <s v="Smartwatch"/>
    <s v="Electronics"/>
    <n v="150"/>
    <n v="5"/>
    <x v="29"/>
    <s v="Michael Brown"/>
    <s v="Boston"/>
    <s v="Debit Card"/>
    <s v="Pending"/>
    <n v="2"/>
    <n v="2025"/>
    <s v="2025-02"/>
    <s v="Pending"/>
    <x v="1"/>
  </r>
  <r>
    <s v="ORD0165"/>
    <d v="2025-03-14T00:00:00"/>
    <s v="Book"/>
    <s v="Books"/>
    <n v="15"/>
    <n v="1"/>
    <x v="16"/>
    <s v="David Lee"/>
    <s v="New York"/>
    <s v="Amazon Pay"/>
    <s v="Pending"/>
    <n v="3"/>
    <n v="2025"/>
    <s v="2025-03"/>
    <s v="Pending"/>
    <x v="1"/>
  </r>
  <r>
    <s v="ORD0166"/>
    <d v="2025-03-30T00:00:00"/>
    <s v="Washing Machine"/>
    <s v="Home Appliances"/>
    <n v="600"/>
    <n v="4"/>
    <x v="21"/>
    <s v="Chris White"/>
    <s v="Houston"/>
    <s v="Credit Card"/>
    <s v="Pending"/>
    <n v="3"/>
    <n v="2025"/>
    <s v="2025-03"/>
    <s v="Pending"/>
    <x v="1"/>
  </r>
  <r>
    <s v="ORD0167"/>
    <d v="2025-03-20T00:00:00"/>
    <s v="Refrigerator"/>
    <s v="Home Appliances"/>
    <n v="1200"/>
    <n v="2"/>
    <x v="21"/>
    <s v="Olivia Wilson"/>
    <s v="Seattle"/>
    <s v="Credit Card"/>
    <s v="Completed"/>
    <n v="3"/>
    <n v="2025"/>
    <s v="2025-03"/>
    <s v="Completed"/>
    <x v="1"/>
  </r>
  <r>
    <s v="ORD0168"/>
    <d v="2025-03-24T00:00:00"/>
    <s v="Laptop"/>
    <s v="Electronics"/>
    <n v="800"/>
    <n v="5"/>
    <x v="26"/>
    <s v="Michael Brown"/>
    <s v="Miami"/>
    <s v="Debit Card"/>
    <s v="Pending"/>
    <n v="3"/>
    <n v="2025"/>
    <s v="2025-03"/>
    <s v="Pending"/>
    <x v="1"/>
  </r>
  <r>
    <s v="ORD0169"/>
    <d v="2025-03-06T00:00:00"/>
    <s v="Refrigerator"/>
    <s v="Home Appliances"/>
    <n v="1200"/>
    <n v="2"/>
    <x v="21"/>
    <s v="John Doe"/>
    <s v="Denver"/>
    <s v="PayPal"/>
    <s v="Completed"/>
    <n v="3"/>
    <n v="2025"/>
    <s v="2025-03"/>
    <s v="Completed"/>
    <x v="1"/>
  </r>
  <r>
    <s v="ORD0170"/>
    <d v="2025-02-28T00:00:00"/>
    <s v="Laptop"/>
    <s v="Electronics"/>
    <n v="800"/>
    <n v="1"/>
    <x v="35"/>
    <s v="Emma Clark"/>
    <s v="San Francisco"/>
    <s v="Gift Card"/>
    <s v="Pending"/>
    <n v="2"/>
    <n v="2025"/>
    <s v="2025-02"/>
    <s v="Pending"/>
    <x v="1"/>
  </r>
  <r>
    <s v="ORD0171"/>
    <d v="2025-02-28T00:00:00"/>
    <s v="Smartwatch"/>
    <s v="Electronics"/>
    <n v="150"/>
    <n v="2"/>
    <x v="14"/>
    <s v="Daniel Harris"/>
    <s v="Houston"/>
    <s v="PayPal"/>
    <s v="Completed"/>
    <n v="2"/>
    <n v="2025"/>
    <s v="2025-02"/>
    <s v="Completed"/>
    <x v="1"/>
  </r>
  <r>
    <s v="ORD0172"/>
    <d v="2025-03-12T00:00:00"/>
    <s v="Book"/>
    <s v="Books"/>
    <n v="15"/>
    <n v="1"/>
    <x v="16"/>
    <s v="David Lee"/>
    <s v="Miami"/>
    <s v="Debit Card"/>
    <s v="Cancelled"/>
    <n v="3"/>
    <n v="2025"/>
    <s v="2025-03"/>
    <s v="Cancelled"/>
    <x v="1"/>
  </r>
  <r>
    <s v="ORD0173"/>
    <d v="2025-02-28T00:00:00"/>
    <s v="Refrigerator"/>
    <s v="Home Appliances"/>
    <n v="1200"/>
    <n v="1"/>
    <x v="12"/>
    <s v="Olivia Wilson"/>
    <s v="Seattle"/>
    <s v="PayPal"/>
    <s v="Completed"/>
    <n v="2"/>
    <n v="2025"/>
    <s v="2025-02"/>
    <s v="Completed"/>
    <x v="1"/>
  </r>
  <r>
    <s v="ORD0174"/>
    <d v="2025-03-13T00:00:00"/>
    <s v="Smartwatch"/>
    <s v="Electronics"/>
    <n v="150"/>
    <n v="2"/>
    <x v="14"/>
    <s v="David Lee"/>
    <s v="Chicago"/>
    <s v="Debit Card"/>
    <s v="Pending"/>
    <n v="3"/>
    <n v="2025"/>
    <s v="2025-03"/>
    <s v="Pending"/>
    <x v="1"/>
  </r>
  <r>
    <s v="ORD0175"/>
    <d v="2025-03-24T00:00:00"/>
    <s v="Jeans"/>
    <s v="Clothing"/>
    <n v="40"/>
    <n v="5"/>
    <x v="30"/>
    <s v="David Lee"/>
    <s v="New York"/>
    <s v="Debit Card"/>
    <s v="Cancelled"/>
    <n v="3"/>
    <n v="2025"/>
    <s v="2025-03"/>
    <s v="Cancelled"/>
    <x v="1"/>
  </r>
  <r>
    <s v="ORD0176"/>
    <d v="2025-03-27T00:00:00"/>
    <s v="Book"/>
    <s v="Books"/>
    <n v="15"/>
    <n v="1"/>
    <x v="16"/>
    <s v="Michael Brown"/>
    <s v="Boston"/>
    <s v="Amazon Pay"/>
    <s v="Completed"/>
    <n v="3"/>
    <n v="2025"/>
    <s v="2025-03"/>
    <s v="Completed"/>
    <x v="1"/>
  </r>
  <r>
    <s v="ORD0177"/>
    <d v="2025-03-14T00:00:00"/>
    <s v="Book"/>
    <s v="Books"/>
    <n v="15"/>
    <n v="5"/>
    <x v="18"/>
    <s v="David Lee"/>
    <s v="San Francisco"/>
    <s v="Credit Card"/>
    <s v="Pending"/>
    <n v="3"/>
    <n v="2025"/>
    <s v="2025-03"/>
    <s v="Pending"/>
    <x v="1"/>
  </r>
  <r>
    <s v="ORD0178"/>
    <d v="2025-02-06T00:00:00"/>
    <s v="Smartphone"/>
    <s v="Electronics"/>
    <n v="500"/>
    <n v="3"/>
    <x v="31"/>
    <s v="Emily Johnson"/>
    <s v="Chicago"/>
    <s v="PayPal"/>
    <s v="Completed"/>
    <n v="2"/>
    <n v="2025"/>
    <s v="2025-02"/>
    <s v="Completed"/>
    <x v="1"/>
  </r>
  <r>
    <s v="ORD0179"/>
    <d v="2025-03-25T00:00:00"/>
    <s v="Jeans"/>
    <s v="Clothing"/>
    <n v="40"/>
    <n v="1"/>
    <x v="24"/>
    <s v="Olivia Wilson"/>
    <s v="Seattle"/>
    <s v="PayPal"/>
    <s v="Cancelled"/>
    <n v="3"/>
    <n v="2025"/>
    <s v="2025-03"/>
    <s v="Cancelled"/>
    <x v="1"/>
  </r>
  <r>
    <s v="ORD0180"/>
    <d v="2025-03-04T00:00:00"/>
    <s v="Refrigerator"/>
    <s v="Home Appliances"/>
    <n v="1200"/>
    <n v="3"/>
    <x v="17"/>
    <s v="David Lee"/>
    <s v="Boston"/>
    <s v="Gift Card"/>
    <s v="Completed"/>
    <n v="3"/>
    <n v="2025"/>
    <s v="2025-03"/>
    <s v="Completed"/>
    <x v="1"/>
  </r>
  <r>
    <s v="ORD0181"/>
    <d v="2025-03-03T00:00:00"/>
    <s v="Running Shoes"/>
    <s v="Footwear"/>
    <n v="60"/>
    <n v="2"/>
    <x v="2"/>
    <s v="David Lee"/>
    <s v="Los Angeles"/>
    <s v="Debit Card"/>
    <s v="Cancelled"/>
    <n v="3"/>
    <n v="2025"/>
    <s v="2025-03"/>
    <s v="Cancelled"/>
    <x v="1"/>
  </r>
  <r>
    <s v="ORD0182"/>
    <d v="2025-04-02T00:00:00"/>
    <s v="T-Shirt"/>
    <s v="Clothing"/>
    <n v="20"/>
    <n v="5"/>
    <x v="19"/>
    <s v="Emma Clark"/>
    <s v="Denver"/>
    <s v="PayPal"/>
    <s v="Completed"/>
    <n v="4"/>
    <n v="2025"/>
    <s v="2025-04"/>
    <s v="Completed"/>
    <x v="1"/>
  </r>
  <r>
    <s v="ORD0183"/>
    <d v="2025-03-25T00:00:00"/>
    <s v="Washing Machine"/>
    <s v="Home Appliances"/>
    <n v="600"/>
    <n v="1"/>
    <x v="5"/>
    <s v="Emma Clark"/>
    <s v="Seattle"/>
    <s v="Debit Card"/>
    <s v="Pending"/>
    <n v="3"/>
    <n v="2025"/>
    <s v="2025-03"/>
    <s v="Pending"/>
    <x v="1"/>
  </r>
  <r>
    <s v="ORD0184"/>
    <d v="2025-02-17T00:00:00"/>
    <s v="Book"/>
    <s v="Books"/>
    <n v="15"/>
    <n v="5"/>
    <x v="18"/>
    <s v="Daniel Harris"/>
    <s v="Miami"/>
    <s v="Debit Card"/>
    <s v="Pending"/>
    <n v="2"/>
    <n v="2025"/>
    <s v="2025-02"/>
    <s v="Pending"/>
    <x v="1"/>
  </r>
  <r>
    <s v="ORD0185"/>
    <d v="2025-03-22T00:00:00"/>
    <s v="T-Shirt"/>
    <s v="Clothing"/>
    <n v="20"/>
    <n v="1"/>
    <x v="4"/>
    <s v="Chris White"/>
    <s v="Dallas"/>
    <s v="Debit Card"/>
    <s v="Completed"/>
    <n v="3"/>
    <n v="2025"/>
    <s v="2025-03"/>
    <s v="Completed"/>
    <x v="1"/>
  </r>
  <r>
    <s v="ORD0186"/>
    <d v="2025-03-02T00:00:00"/>
    <s v="Washing Machine"/>
    <s v="Home Appliances"/>
    <n v="600"/>
    <n v="4"/>
    <x v="21"/>
    <s v="Michael Brown"/>
    <s v="New York"/>
    <s v="PayPal"/>
    <s v="Completed"/>
    <n v="3"/>
    <n v="2025"/>
    <s v="2025-03"/>
    <s v="Completed"/>
    <x v="1"/>
  </r>
  <r>
    <s v="ORD0187"/>
    <d v="2025-03-13T00:00:00"/>
    <s v="Laptop"/>
    <s v="Electronics"/>
    <n v="800"/>
    <n v="3"/>
    <x v="21"/>
    <s v="John Doe"/>
    <s v="New York"/>
    <s v="PayPal"/>
    <s v="Pending"/>
    <n v="3"/>
    <n v="2025"/>
    <s v="2025-03"/>
    <s v="Pending"/>
    <x v="1"/>
  </r>
  <r>
    <s v="ORD0188"/>
    <d v="2025-02-14T00:00:00"/>
    <s v="Book"/>
    <s v="Books"/>
    <n v="15"/>
    <n v="1"/>
    <x v="16"/>
    <s v="John Doe"/>
    <s v="Boston"/>
    <s v="Amazon Pay"/>
    <s v="Completed"/>
    <n v="2"/>
    <n v="2025"/>
    <s v="2025-02"/>
    <s v="Completed"/>
    <x v="1"/>
  </r>
  <r>
    <s v="ORD0189"/>
    <d v="2025-02-10T00:00:00"/>
    <s v="Laptop"/>
    <s v="Electronics"/>
    <n v="800"/>
    <n v="3"/>
    <x v="21"/>
    <s v="Jane Smith"/>
    <s v="Houston"/>
    <s v="Amazon Pay"/>
    <s v="Completed"/>
    <n v="2"/>
    <n v="2025"/>
    <s v="2025-02"/>
    <s v="Completed"/>
    <x v="1"/>
  </r>
  <r>
    <s v="ORD0190"/>
    <d v="2025-02-23T00:00:00"/>
    <s v="Running Shoes"/>
    <s v="Footwear"/>
    <n v="60"/>
    <n v="1"/>
    <x v="7"/>
    <s v="Sophia Miller"/>
    <s v="Houston"/>
    <s v="PayPal"/>
    <s v="Completed"/>
    <n v="2"/>
    <n v="2025"/>
    <s v="2025-02"/>
    <s v="Completed"/>
    <x v="1"/>
  </r>
  <r>
    <s v="ORD0191"/>
    <d v="2025-02-28T00:00:00"/>
    <s v="Jeans"/>
    <s v="Clothing"/>
    <n v="40"/>
    <n v="4"/>
    <x v="9"/>
    <s v="John Doe"/>
    <s v="Seattle"/>
    <s v="Amazon Pay"/>
    <s v="Pending"/>
    <n v="2"/>
    <n v="2025"/>
    <s v="2025-02"/>
    <s v="Pending"/>
    <x v="1"/>
  </r>
  <r>
    <s v="ORD0192"/>
    <d v="2025-03-31T00:00:00"/>
    <s v="Headphones"/>
    <s v="Electronics"/>
    <n v="100"/>
    <n v="3"/>
    <x v="14"/>
    <s v="Sophia Miller"/>
    <s v="Dallas"/>
    <s v="Gift Card"/>
    <s v="Pending"/>
    <n v="3"/>
    <n v="2025"/>
    <s v="2025-03"/>
    <s v="Pending"/>
    <x v="1"/>
  </r>
  <r>
    <s v="ORD0193"/>
    <d v="2025-03-30T00:00:00"/>
    <s v="Book"/>
    <s v="Books"/>
    <n v="15"/>
    <n v="5"/>
    <x v="18"/>
    <s v="David Lee"/>
    <s v="Chicago"/>
    <s v="Amazon Pay"/>
    <s v="Pending"/>
    <n v="3"/>
    <n v="2025"/>
    <s v="2025-03"/>
    <s v="Pending"/>
    <x v="1"/>
  </r>
  <r>
    <s v="ORD0194"/>
    <d v="2025-02-20T00:00:00"/>
    <s v="Jeans"/>
    <s v="Clothing"/>
    <n v="40"/>
    <n v="4"/>
    <x v="9"/>
    <s v="John Doe"/>
    <s v="San Francisco"/>
    <s v="Debit Card"/>
    <s v="Cancelled"/>
    <n v="2"/>
    <n v="2025"/>
    <s v="2025-02"/>
    <s v="Cancelled"/>
    <x v="1"/>
  </r>
  <r>
    <s v="ORD0195"/>
    <d v="2025-03-10T00:00:00"/>
    <s v="Smartphone"/>
    <s v="Electronics"/>
    <n v="500"/>
    <n v="3"/>
    <x v="31"/>
    <s v="Olivia Wilson"/>
    <s v="Denver"/>
    <s v="Gift Card"/>
    <s v="Cancelled"/>
    <n v="3"/>
    <n v="2025"/>
    <s v="2025-03"/>
    <s v="Cancelled"/>
    <x v="1"/>
  </r>
  <r>
    <s v="ORD0196"/>
    <d v="2025-03-04T00:00:00"/>
    <s v="Headphones"/>
    <s v="Electronics"/>
    <n v="100"/>
    <n v="5"/>
    <x v="6"/>
    <s v="Daniel Harris"/>
    <s v="Seattle"/>
    <s v="Debit Card"/>
    <s v="Pending"/>
    <n v="3"/>
    <n v="2025"/>
    <s v="2025-03"/>
    <s v="Pending"/>
    <x v="1"/>
  </r>
  <r>
    <s v="ORD0197"/>
    <d v="2025-03-12T00:00:00"/>
    <s v="Running Shoes"/>
    <s v="Footwear"/>
    <n v="60"/>
    <n v="2"/>
    <x v="2"/>
    <s v="Michael Brown"/>
    <s v="Denver"/>
    <s v="Gift Card"/>
    <s v="Completed"/>
    <n v="3"/>
    <n v="2025"/>
    <s v="2025-03"/>
    <s v="Completed"/>
    <x v="1"/>
  </r>
  <r>
    <s v="ORD0198"/>
    <d v="2025-02-20T00:00:00"/>
    <s v="Laptop"/>
    <s v="Electronics"/>
    <n v="800"/>
    <n v="4"/>
    <x v="32"/>
    <s v="Jane Smith"/>
    <s v="Seattle"/>
    <s v="Amazon Pay"/>
    <s v="Pending"/>
    <n v="2"/>
    <n v="2025"/>
    <s v="2025-02"/>
    <s v="Pending"/>
    <x v="1"/>
  </r>
  <r>
    <s v="ORD0199"/>
    <d v="2025-02-22T00:00:00"/>
    <s v="Smartphone"/>
    <s v="Electronics"/>
    <n v="500"/>
    <n v="3"/>
    <x v="31"/>
    <s v="Chris White"/>
    <s v="Dallas"/>
    <s v="Credit Card"/>
    <s v="Completed"/>
    <n v="2"/>
    <n v="2025"/>
    <s v="2025-02"/>
    <s v="Completed"/>
    <x v="1"/>
  </r>
  <r>
    <s v="ORD0200"/>
    <d v="2025-02-10T00:00:00"/>
    <s v="Book"/>
    <s v="Books"/>
    <n v="15"/>
    <n v="2"/>
    <x v="8"/>
    <s v="Chris White"/>
    <s v="Los Angeles"/>
    <s v="Debit Card"/>
    <s v="Completed"/>
    <n v="2"/>
    <n v="2025"/>
    <s v="2025-02"/>
    <s v="Completed"/>
    <x v="1"/>
  </r>
  <r>
    <s v="ORD0201"/>
    <d v="2025-02-03T00:00:00"/>
    <s v="Book"/>
    <s v="Books"/>
    <n v="15"/>
    <n v="4"/>
    <x v="7"/>
    <s v="Michael Brown"/>
    <s v="San Francisco"/>
    <s v="Credit Card"/>
    <s v="Completed"/>
    <n v="2"/>
    <n v="2025"/>
    <s v="2025-02"/>
    <s v="Completed"/>
    <x v="1"/>
  </r>
  <r>
    <s v="ORD0202"/>
    <d v="2025-02-21T00:00:00"/>
    <s v="Smartphone"/>
    <s v="Electronics"/>
    <n v="500"/>
    <n v="2"/>
    <x v="13"/>
    <s v="Daniel Harris"/>
    <s v="Miami"/>
    <s v="Credit Card"/>
    <s v="Cancelled"/>
    <n v="2"/>
    <n v="2025"/>
    <s v="2025-02"/>
    <s v="Cancelled"/>
    <x v="1"/>
  </r>
  <r>
    <s v="ORD0203"/>
    <d v="2025-02-21T00:00:00"/>
    <s v="Refrigerator"/>
    <s v="Home Appliances"/>
    <n v="1200"/>
    <n v="3"/>
    <x v="17"/>
    <s v="John Doe"/>
    <s v="Dallas"/>
    <s v="Debit Card"/>
    <s v="Completed"/>
    <n v="2"/>
    <n v="2025"/>
    <s v="2025-02"/>
    <s v="Completed"/>
    <x v="1"/>
  </r>
  <r>
    <s v="ORD0204"/>
    <d v="2025-03-08T00:00:00"/>
    <s v="Running Shoes"/>
    <s v="Footwear"/>
    <n v="60"/>
    <n v="5"/>
    <x v="14"/>
    <s v="Jane Smith"/>
    <s v="Miami"/>
    <s v="Gift Card"/>
    <s v="Pending"/>
    <n v="3"/>
    <n v="2025"/>
    <s v="2025-03"/>
    <s v="Pending"/>
    <x v="1"/>
  </r>
  <r>
    <s v="ORD0205"/>
    <d v="2025-02-27T00:00:00"/>
    <s v="Headphones"/>
    <s v="Electronics"/>
    <n v="100"/>
    <n v="2"/>
    <x v="30"/>
    <s v="David Lee"/>
    <s v="Houston"/>
    <s v="PayPal"/>
    <s v="Completed"/>
    <n v="2"/>
    <n v="2025"/>
    <s v="2025-02"/>
    <s v="Completed"/>
    <x v="1"/>
  </r>
  <r>
    <s v="ORD0206"/>
    <d v="2025-02-12T00:00:00"/>
    <s v="Washing Machine"/>
    <s v="Home Appliances"/>
    <n v="600"/>
    <n v="5"/>
    <x v="34"/>
    <s v="Emma Clark"/>
    <s v="Miami"/>
    <s v="Amazon Pay"/>
    <s v="Pending"/>
    <n v="2"/>
    <n v="2025"/>
    <s v="2025-02"/>
    <s v="Pending"/>
    <x v="1"/>
  </r>
  <r>
    <s v="ORD0207"/>
    <d v="2025-03-21T00:00:00"/>
    <s v="Washing Machine"/>
    <s v="Home Appliances"/>
    <n v="600"/>
    <n v="1"/>
    <x v="5"/>
    <s v="John Doe"/>
    <s v="Miami"/>
    <s v="Credit Card"/>
    <s v="Completed"/>
    <n v="3"/>
    <n v="2025"/>
    <s v="2025-03"/>
    <s v="Completed"/>
    <x v="1"/>
  </r>
  <r>
    <s v="ORD0208"/>
    <d v="2025-02-02T00:00:00"/>
    <s v="Refrigerator"/>
    <s v="Home Appliances"/>
    <n v="1200"/>
    <n v="3"/>
    <x v="17"/>
    <s v="John Doe"/>
    <s v="Miami"/>
    <s v="PayPal"/>
    <s v="Completed"/>
    <n v="2"/>
    <n v="2025"/>
    <s v="2025-02"/>
    <s v="Completed"/>
    <x v="1"/>
  </r>
  <r>
    <s v="ORD0209"/>
    <d v="2025-03-29T00:00:00"/>
    <s v="Jeans"/>
    <s v="Clothing"/>
    <n v="40"/>
    <n v="5"/>
    <x v="30"/>
    <s v="Daniel Harris"/>
    <s v="Dallas"/>
    <s v="PayPal"/>
    <s v="Completed"/>
    <n v="3"/>
    <n v="2025"/>
    <s v="2025-03"/>
    <s v="Completed"/>
    <x v="1"/>
  </r>
  <r>
    <s v="ORD0210"/>
    <d v="2025-03-23T00:00:00"/>
    <s v="Laptop"/>
    <s v="Electronics"/>
    <n v="800"/>
    <n v="3"/>
    <x v="21"/>
    <s v="Jane Smith"/>
    <s v="New York"/>
    <s v="PayPal"/>
    <s v="Completed"/>
    <n v="3"/>
    <n v="2025"/>
    <s v="2025-03"/>
    <s v="Completed"/>
    <x v="1"/>
  </r>
  <r>
    <s v="ORD0211"/>
    <d v="2025-03-13T00:00:00"/>
    <s v="Smartphone"/>
    <s v="Electronics"/>
    <n v="500"/>
    <n v="1"/>
    <x v="6"/>
    <s v="David Lee"/>
    <s v="Miami"/>
    <s v="Gift Card"/>
    <s v="Pending"/>
    <n v="3"/>
    <n v="2025"/>
    <s v="2025-03"/>
    <s v="Pending"/>
    <x v="1"/>
  </r>
  <r>
    <s v="ORD0212"/>
    <d v="2025-03-09T00:00:00"/>
    <s v="T-Shirt"/>
    <s v="Clothing"/>
    <n v="20"/>
    <n v="4"/>
    <x v="23"/>
    <s v="Emma Clark"/>
    <s v="Houston"/>
    <s v="Debit Card"/>
    <s v="Completed"/>
    <n v="3"/>
    <n v="2025"/>
    <s v="2025-03"/>
    <s v="Completed"/>
    <x v="1"/>
  </r>
  <r>
    <s v="ORD0213"/>
    <d v="2025-02-06T00:00:00"/>
    <s v="Laptop"/>
    <s v="Electronics"/>
    <n v="800"/>
    <n v="1"/>
    <x v="35"/>
    <s v="Jane Smith"/>
    <s v="Los Angeles"/>
    <s v="Amazon Pay"/>
    <s v="Cancelled"/>
    <n v="2"/>
    <n v="2025"/>
    <s v="2025-02"/>
    <s v="Cancelled"/>
    <x v="1"/>
  </r>
  <r>
    <s v="ORD0214"/>
    <d v="2025-02-18T00:00:00"/>
    <s v="Smartwatch"/>
    <s v="Electronics"/>
    <n v="150"/>
    <n v="5"/>
    <x v="29"/>
    <s v="Emily Johnson"/>
    <s v="Houston"/>
    <s v="Debit Card"/>
    <s v="Completed"/>
    <n v="2"/>
    <n v="2025"/>
    <s v="2025-02"/>
    <s v="Completed"/>
    <x v="1"/>
  </r>
  <r>
    <s v="ORD0215"/>
    <d v="2025-03-07T00:00:00"/>
    <s v="Running Shoes"/>
    <s v="Footwear"/>
    <n v="60"/>
    <n v="1"/>
    <x v="7"/>
    <s v="Emma Clark"/>
    <s v="Houston"/>
    <s v="PayPal"/>
    <s v="Completed"/>
    <n v="3"/>
    <n v="2025"/>
    <s v="2025-03"/>
    <s v="Completed"/>
    <x v="1"/>
  </r>
  <r>
    <s v="ORD0216"/>
    <d v="2025-03-26T00:00:00"/>
    <s v="Jeans"/>
    <s v="Clothing"/>
    <n v="40"/>
    <n v="2"/>
    <x v="23"/>
    <s v="Chris White"/>
    <s v="Chicago"/>
    <s v="Credit Card"/>
    <s v="Completed"/>
    <n v="3"/>
    <n v="2025"/>
    <s v="2025-03"/>
    <s v="Completed"/>
    <x v="1"/>
  </r>
  <r>
    <s v="ORD0217"/>
    <d v="2025-03-19T00:00:00"/>
    <s v="Running Shoes"/>
    <s v="Footwear"/>
    <n v="60"/>
    <n v="2"/>
    <x v="2"/>
    <s v="Emma Clark"/>
    <s v="Boston"/>
    <s v="Gift Card"/>
    <s v="Pending"/>
    <n v="3"/>
    <n v="2025"/>
    <s v="2025-03"/>
    <s v="Pending"/>
    <x v="1"/>
  </r>
  <r>
    <s v="ORD0218"/>
    <d v="2025-02-15T00:00:00"/>
    <s v="Headphones"/>
    <s v="Electronics"/>
    <n v="100"/>
    <n v="4"/>
    <x v="1"/>
    <s v="Daniel Harris"/>
    <s v="New York"/>
    <s v="Gift Card"/>
    <s v="Cancelled"/>
    <n v="2"/>
    <n v="2025"/>
    <s v="2025-02"/>
    <s v="Cancelled"/>
    <x v="1"/>
  </r>
  <r>
    <s v="ORD0219"/>
    <d v="2025-02-17T00:00:00"/>
    <s v="Headphones"/>
    <s v="Electronics"/>
    <n v="100"/>
    <n v="3"/>
    <x v="14"/>
    <s v="David Lee"/>
    <s v="Houston"/>
    <s v="PayPal"/>
    <s v="Cancelled"/>
    <n v="2"/>
    <n v="2025"/>
    <s v="2025-02"/>
    <s v="Cancelled"/>
    <x v="1"/>
  </r>
  <r>
    <s v="ORD0220"/>
    <d v="2025-02-10T00:00:00"/>
    <s v="Smartwatch"/>
    <s v="Electronics"/>
    <n v="150"/>
    <n v="3"/>
    <x v="3"/>
    <s v="Michael Brown"/>
    <s v="Denver"/>
    <s v="Debit Card"/>
    <s v="Completed"/>
    <n v="2"/>
    <n v="2025"/>
    <s v="2025-02"/>
    <s v="Completed"/>
    <x v="1"/>
  </r>
  <r>
    <s v="ORD0221"/>
    <d v="2025-02-28T00:00:00"/>
    <s v="Washing Machine"/>
    <s v="Home Appliances"/>
    <n v="600"/>
    <n v="2"/>
    <x v="12"/>
    <s v="Emily Johnson"/>
    <s v="Chicago"/>
    <s v="Gift Card"/>
    <s v="Cancelled"/>
    <n v="2"/>
    <n v="2025"/>
    <s v="2025-02"/>
    <s v="Cancelled"/>
    <x v="1"/>
  </r>
  <r>
    <s v="ORD0222"/>
    <d v="2025-02-16T00:00:00"/>
    <s v="Washing Machine"/>
    <s v="Home Appliances"/>
    <n v="600"/>
    <n v="2"/>
    <x v="12"/>
    <s v="Chris White"/>
    <s v="Seattle"/>
    <s v="PayPal"/>
    <s v="Cancelled"/>
    <n v="2"/>
    <n v="2025"/>
    <s v="2025-02"/>
    <s v="Cancelled"/>
    <x v="1"/>
  </r>
  <r>
    <s v="ORD0223"/>
    <d v="2025-03-24T00:00:00"/>
    <s v="Jeans"/>
    <s v="Clothing"/>
    <n v="40"/>
    <n v="2"/>
    <x v="23"/>
    <s v="David Lee"/>
    <s v="Denver"/>
    <s v="Amazon Pay"/>
    <s v="Cancelled"/>
    <n v="3"/>
    <n v="2025"/>
    <s v="2025-03"/>
    <s v="Cancelled"/>
    <x v="1"/>
  </r>
  <r>
    <s v="ORD0224"/>
    <d v="2025-03-18T00:00:00"/>
    <s v="Refrigerator"/>
    <s v="Home Appliances"/>
    <n v="1200"/>
    <n v="1"/>
    <x v="12"/>
    <s v="Jane Smith"/>
    <s v="Miami"/>
    <s v="PayPal"/>
    <s v="Completed"/>
    <n v="3"/>
    <n v="2025"/>
    <s v="2025-03"/>
    <s v="Completed"/>
    <x v="1"/>
  </r>
  <r>
    <s v="ORD0225"/>
    <d v="2025-03-11T00:00:00"/>
    <s v="Jeans"/>
    <s v="Clothing"/>
    <n v="40"/>
    <n v="1"/>
    <x v="24"/>
    <s v="Sophia Miller"/>
    <s v="New York"/>
    <s v="Gift Card"/>
    <s v="Cancelled"/>
    <n v="3"/>
    <n v="2025"/>
    <s v="2025-03"/>
    <s v="Cancelled"/>
    <x v="1"/>
  </r>
  <r>
    <s v="ORD0226"/>
    <d v="2025-03-05T00:00:00"/>
    <s v="Running Shoes"/>
    <s v="Footwear"/>
    <n v="60"/>
    <n v="4"/>
    <x v="25"/>
    <s v="Chris White"/>
    <s v="Chicago"/>
    <s v="Amazon Pay"/>
    <s v="Completed"/>
    <n v="3"/>
    <n v="2025"/>
    <s v="2025-03"/>
    <s v="Completed"/>
    <x v="1"/>
  </r>
  <r>
    <s v="ORD0227"/>
    <d v="2025-04-02T00:00:00"/>
    <s v="Headphones"/>
    <s v="Electronics"/>
    <n v="100"/>
    <n v="5"/>
    <x v="6"/>
    <s v="Emma Clark"/>
    <s v="Miami"/>
    <s v="Amazon Pay"/>
    <s v="Cancelled"/>
    <n v="4"/>
    <n v="2025"/>
    <s v="2025-04"/>
    <s v="Cancelled"/>
    <x v="1"/>
  </r>
  <r>
    <s v="ORD0228"/>
    <d v="2025-02-12T00:00:00"/>
    <s v="Running Shoes"/>
    <s v="Footwear"/>
    <n v="60"/>
    <n v="1"/>
    <x v="7"/>
    <s v="David Lee"/>
    <s v="San Francisco"/>
    <s v="Credit Card"/>
    <s v="Pending"/>
    <n v="2"/>
    <n v="2025"/>
    <s v="2025-02"/>
    <s v="Pending"/>
    <x v="1"/>
  </r>
  <r>
    <s v="ORD0229"/>
    <d v="2025-03-21T00:00:00"/>
    <s v="Running Shoes"/>
    <s v="Footwear"/>
    <n v="60"/>
    <n v="3"/>
    <x v="0"/>
    <s v="Emma Clark"/>
    <s v="San Francisco"/>
    <s v="Credit Card"/>
    <s v="Pending"/>
    <n v="3"/>
    <n v="2025"/>
    <s v="2025-03"/>
    <s v="Pending"/>
    <x v="1"/>
  </r>
  <r>
    <s v="ORD0230"/>
    <d v="2025-03-31T00:00:00"/>
    <s v="Headphones"/>
    <s v="Electronics"/>
    <n v="100"/>
    <n v="4"/>
    <x v="1"/>
    <s v="Jane Smith"/>
    <s v="San Francisco"/>
    <s v="Amazon Pay"/>
    <s v="Pending"/>
    <n v="3"/>
    <n v="2025"/>
    <s v="2025-03"/>
    <s v="Pending"/>
    <x v="1"/>
  </r>
  <r>
    <s v="ORD0231"/>
    <d v="2025-02-16T00:00:00"/>
    <s v="Laptop"/>
    <s v="Electronics"/>
    <n v="800"/>
    <n v="5"/>
    <x v="26"/>
    <s v="Jane Smith"/>
    <s v="Boston"/>
    <s v="Credit Card"/>
    <s v="Cancelled"/>
    <n v="2"/>
    <n v="2025"/>
    <s v="2025-02"/>
    <s v="Cancelled"/>
    <x v="1"/>
  </r>
  <r>
    <s v="ORD0232"/>
    <d v="2025-03-14T00:00:00"/>
    <s v="Refrigerator"/>
    <s v="Home Appliances"/>
    <n v="1200"/>
    <n v="3"/>
    <x v="17"/>
    <s v="Emma Clark"/>
    <s v="Los Angeles"/>
    <s v="Credit Card"/>
    <s v="Completed"/>
    <n v="3"/>
    <n v="2025"/>
    <s v="2025-03"/>
    <s v="Completed"/>
    <x v="1"/>
  </r>
  <r>
    <s v="ORD0233"/>
    <d v="2025-02-20T00:00:00"/>
    <s v="Running Shoes"/>
    <s v="Footwear"/>
    <n v="60"/>
    <n v="1"/>
    <x v="7"/>
    <s v="David Lee"/>
    <s v="Boston"/>
    <s v="PayPal"/>
    <s v="Cancelled"/>
    <n v="2"/>
    <n v="2025"/>
    <s v="2025-02"/>
    <s v="Cancelled"/>
    <x v="1"/>
  </r>
  <r>
    <s v="ORD0234"/>
    <d v="2025-03-08T00:00:00"/>
    <s v="Book"/>
    <s v="Books"/>
    <n v="15"/>
    <n v="1"/>
    <x v="16"/>
    <s v="Jane Smith"/>
    <s v="Miami"/>
    <s v="Amazon Pay"/>
    <s v="Cancelled"/>
    <n v="3"/>
    <n v="2025"/>
    <s v="2025-03"/>
    <s v="Cancelled"/>
    <x v="1"/>
  </r>
  <r>
    <s v="ORD0235"/>
    <d v="2025-03-23T00:00:00"/>
    <s v="Refrigerator"/>
    <s v="Home Appliances"/>
    <n v="1200"/>
    <n v="1"/>
    <x v="12"/>
    <s v="Daniel Harris"/>
    <s v="Dallas"/>
    <s v="PayPal"/>
    <s v="Completed"/>
    <n v="3"/>
    <n v="2025"/>
    <s v="2025-03"/>
    <s v="Completed"/>
    <x v="1"/>
  </r>
  <r>
    <s v="ORD0236"/>
    <d v="2025-03-05T00:00:00"/>
    <s v="Smartphone"/>
    <s v="Electronics"/>
    <n v="500"/>
    <n v="5"/>
    <x v="27"/>
    <s v="John Doe"/>
    <s v="Boston"/>
    <s v="PayPal"/>
    <s v="Completed"/>
    <n v="3"/>
    <n v="2025"/>
    <s v="2025-03"/>
    <s v="Completed"/>
    <x v="1"/>
  </r>
  <r>
    <s v="ORD0237"/>
    <d v="2025-02-11T00:00:00"/>
    <s v="Headphones"/>
    <s v="Electronics"/>
    <n v="100"/>
    <n v="3"/>
    <x v="14"/>
    <s v="Michael Brown"/>
    <s v="Houston"/>
    <s v="Debit Card"/>
    <s v="Cancelled"/>
    <n v="2"/>
    <n v="2025"/>
    <s v="2025-02"/>
    <s v="Cancelled"/>
    <x v="1"/>
  </r>
  <r>
    <s v="ORD0238"/>
    <d v="2025-03-16T00:00:00"/>
    <s v="Headphones"/>
    <s v="Electronics"/>
    <n v="100"/>
    <n v="1"/>
    <x v="19"/>
    <s v="Olivia Wilson"/>
    <s v="Denver"/>
    <s v="PayPal"/>
    <s v="Completed"/>
    <n v="3"/>
    <n v="2025"/>
    <s v="2025-03"/>
    <s v="Completed"/>
    <x v="1"/>
  </r>
  <r>
    <s v="ORD0239"/>
    <d v="2025-03-22T00:00:00"/>
    <s v="Smartwatch"/>
    <s v="Electronics"/>
    <n v="150"/>
    <n v="5"/>
    <x v="29"/>
    <s v="Daniel Harris"/>
    <s v="Houston"/>
    <s v="Amazon Pay"/>
    <s v="Completed"/>
    <n v="3"/>
    <n v="2025"/>
    <s v="2025-03"/>
    <s v="Completed"/>
    <x v="1"/>
  </r>
  <r>
    <s v="ORD0240"/>
    <d v="2025-02-09T00:00:00"/>
    <s v="Smartwatch"/>
    <s v="Electronics"/>
    <n v="150"/>
    <n v="1"/>
    <x v="22"/>
    <s v="John Doe"/>
    <s v="Denver"/>
    <s v="Gift Card"/>
    <s v="Pending"/>
    <n v="2"/>
    <n v="2025"/>
    <s v="2025-02"/>
    <s v="Pending"/>
    <x v="1"/>
  </r>
  <r>
    <s v="ORD0241"/>
    <d v="2025-03-30T00:00:00"/>
    <s v="Smartphone"/>
    <s v="Electronics"/>
    <n v="500"/>
    <n v="4"/>
    <x v="20"/>
    <s v="Olivia Wilson"/>
    <s v="New York"/>
    <s v="Credit Card"/>
    <s v="Pending"/>
    <n v="3"/>
    <n v="2025"/>
    <s v="2025-03"/>
    <s v="Pending"/>
    <x v="1"/>
  </r>
  <r>
    <s v="ORD0242"/>
    <d v="2025-03-08T00:00:00"/>
    <s v="Smartphone"/>
    <s v="Electronics"/>
    <n v="500"/>
    <n v="4"/>
    <x v="20"/>
    <s v="Chris White"/>
    <s v="Boston"/>
    <s v="Gift Card"/>
    <s v="Pending"/>
    <n v="3"/>
    <n v="2025"/>
    <s v="2025-03"/>
    <s v="Pending"/>
    <x v="1"/>
  </r>
  <r>
    <s v="ORD0243"/>
    <d v="2025-03-05T00:00:00"/>
    <s v="Running Shoes"/>
    <s v="Footwear"/>
    <n v="60"/>
    <n v="2"/>
    <x v="2"/>
    <s v="Chris White"/>
    <s v="Houston"/>
    <s v="Amazon Pay"/>
    <s v="Completed"/>
    <n v="3"/>
    <n v="2025"/>
    <s v="2025-03"/>
    <s v="Completed"/>
    <x v="1"/>
  </r>
  <r>
    <s v="ORD0244"/>
    <d v="2025-02-06T00:00:00"/>
    <s v="Smartphone"/>
    <s v="Electronics"/>
    <n v="500"/>
    <n v="4"/>
    <x v="20"/>
    <s v="Emma Clark"/>
    <s v="Houston"/>
    <s v="Credit Card"/>
    <s v="Completed"/>
    <n v="2"/>
    <n v="2025"/>
    <s v="2025-02"/>
    <s v="Completed"/>
    <x v="1"/>
  </r>
  <r>
    <s v="ORD0245"/>
    <d v="2025-02-04T00:00:00"/>
    <s v="Laptop"/>
    <s v="Electronics"/>
    <n v="800"/>
    <n v="1"/>
    <x v="35"/>
    <s v="Michael Brown"/>
    <s v="Los Angeles"/>
    <s v="Credit Card"/>
    <s v="Cancelled"/>
    <n v="2"/>
    <n v="2025"/>
    <s v="2025-02"/>
    <s v="Cancelled"/>
    <x v="1"/>
  </r>
  <r>
    <s v="ORD0246"/>
    <d v="2025-03-17T00:00:00"/>
    <s v="T-Shirt"/>
    <s v="Clothing"/>
    <n v="20"/>
    <n v="2"/>
    <x v="24"/>
    <s v="Daniel Harris"/>
    <s v="Miami"/>
    <s v="Debit Card"/>
    <s v="Cancelled"/>
    <n v="3"/>
    <n v="2025"/>
    <s v="2025-03"/>
    <s v="Cancelled"/>
    <x v="1"/>
  </r>
  <r>
    <s v="ORD0247"/>
    <d v="2025-03-30T00:00:00"/>
    <s v="Jeans"/>
    <s v="Clothing"/>
    <n v="40"/>
    <n v="1"/>
    <x v="24"/>
    <s v="Sophia Miller"/>
    <s v="Dallas"/>
    <s v="Debit Card"/>
    <s v="Cancelled"/>
    <n v="3"/>
    <n v="2025"/>
    <s v="2025-03"/>
    <s v="Cancelled"/>
    <x v="1"/>
  </r>
  <r>
    <s v="ORD0248"/>
    <d v="2025-03-05T00:00:00"/>
    <s v="T-Shirt"/>
    <s v="Clothing"/>
    <n v="20"/>
    <n v="2"/>
    <x v="24"/>
    <s v="Chris White"/>
    <s v="Denver"/>
    <s v="Debit Card"/>
    <s v="Cancelled"/>
    <n v="3"/>
    <n v="2025"/>
    <s v="2025-03"/>
    <s v="Cancelled"/>
    <x v="1"/>
  </r>
  <r>
    <s v="ORD0249"/>
    <d v="2025-03-08T00:00:00"/>
    <s v="Smartwatch"/>
    <s v="Electronics"/>
    <n v="150"/>
    <n v="3"/>
    <x v="3"/>
    <s v="Emily Johnson"/>
    <s v="New York"/>
    <s v="Debit Card"/>
    <s v="Cancelled"/>
    <n v="3"/>
    <n v="2025"/>
    <s v="2025-03"/>
    <s v="Cancelled"/>
    <x v="1"/>
  </r>
  <r>
    <s v="ORD0250"/>
    <d v="2025-02-19T00:00:00"/>
    <s v="Smartphone"/>
    <s v="Electronics"/>
    <n v="500"/>
    <n v="4"/>
    <x v="20"/>
    <s v="Emily Johnson"/>
    <s v="Seattle"/>
    <s v="Amazon Pay"/>
    <s v="Completed"/>
    <n v="2"/>
    <n v="2025"/>
    <s v="2025-02"/>
    <s v="Complet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0FB20-608B-456B-8042-5EEEAA2B4A8D}" name="PivotTable1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3:N45" firstHeaderRow="1" firstDataRow="1" firstDataCol="1"/>
  <pivotFields count="15">
    <pivotField showAll="0">
      <items count="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showAll="0"/>
    <pivotField axis="axisRow" showAll="0">
      <items count="12">
        <item x="5"/>
        <item x="1"/>
        <item x="6"/>
        <item x="7"/>
        <item x="9"/>
        <item x="0"/>
        <item x="4"/>
        <item x="2"/>
        <item x="3"/>
        <item x="8"/>
        <item x="10"/>
        <item t="default"/>
      </items>
    </pivotField>
    <pivotField showAll="0">
      <items count="7">
        <item x="3"/>
        <item x="2"/>
        <item x="1"/>
        <item x="0"/>
        <item x="4"/>
        <item x="5"/>
        <item t="default"/>
      </items>
    </pivotField>
    <pivotField showAll="0"/>
    <pivotField showAll="0"/>
    <pivotField dataField="1" showAll="0"/>
    <pivotField showAll="0"/>
    <pivotField showAll="0">
      <items count="12">
        <item x="6"/>
        <item x="9"/>
        <item x="3"/>
        <item x="2"/>
        <item x="4"/>
        <item x="8"/>
        <item x="5"/>
        <item x="0"/>
        <item x="1"/>
        <item x="7"/>
        <item x="10"/>
        <item t="default"/>
      </items>
    </pivotField>
    <pivotField showAll="0"/>
    <pivotField showAll="0">
      <items count="5">
        <item x="0"/>
        <item x="2"/>
        <item x="1"/>
        <item x="3"/>
        <item t="default"/>
      </items>
    </pivotField>
    <pivotField showAll="0">
      <items count="5">
        <item x="1"/>
        <item x="0"/>
        <item x="2"/>
        <item x="3"/>
        <item t="default"/>
      </items>
    </pivotField>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80858E-3558-4FD0-A550-F91C041D62F8}" name="PivotTable15" cacheId="3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28:S29" firstHeaderRow="1" firstDataRow="1" firstDataCol="0"/>
  <pivotFields count="15">
    <pivotField showAll="0"/>
    <pivotField showAll="0"/>
    <pivotField showAll="0"/>
    <pivotField showAll="0"/>
    <pivotField showAll="0"/>
    <pivotField showAll="0"/>
    <pivotField dataField="1" showAll="0"/>
    <pivotField showAll="0"/>
    <pivotField showAll="0">
      <items count="12">
        <item x="6"/>
        <item x="9"/>
        <item x="3"/>
        <item x="2"/>
        <item x="4"/>
        <item x="8"/>
        <item x="5"/>
        <item x="0"/>
        <item x="1"/>
        <item x="7"/>
        <item x="10"/>
        <item t="default"/>
      </items>
    </pivotField>
    <pivotField showAll="0"/>
    <pivotField showAll="0"/>
    <pivotField showAll="0"/>
    <pivotField showAll="0"/>
    <pivotField showAll="0"/>
    <pivotField showAll="0"/>
  </pivotFields>
  <rowItems count="1">
    <i/>
  </rowItems>
  <colItems count="1">
    <i/>
  </colItems>
  <dataFields count="1">
    <dataField name="TOTAL SALES 1"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2FB1D1-E82D-4AF2-8419-F212628FB68D}" name="PivotTable14" cacheId="37"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28:Q32" firstHeaderRow="1" firstDataRow="1" firstDataCol="1"/>
  <pivotFields count="15">
    <pivotField dataField="1" showAll="0"/>
    <pivotField showAll="0"/>
    <pivotField showAll="0"/>
    <pivotField showAll="0"/>
    <pivotField showAll="0"/>
    <pivotField dataField="1" showAll="0"/>
    <pivotField dataField="1" showAll="0"/>
    <pivotField showAll="0"/>
    <pivotField showAll="0">
      <items count="12">
        <item x="6"/>
        <item x="9"/>
        <item x="3"/>
        <item x="2"/>
        <item x="4"/>
        <item x="8"/>
        <item x="5"/>
        <item x="0"/>
        <item x="1"/>
        <item x="7"/>
        <item x="10"/>
        <item t="default"/>
      </items>
    </pivotField>
    <pivotField showAll="0"/>
    <pivotField showAll="0"/>
    <pivotField showAll="0"/>
    <pivotField showAll="0"/>
    <pivotField showAll="0"/>
    <pivotField showAll="0"/>
  </pivotFields>
  <rowFields count="1">
    <field x="-2"/>
  </rowFields>
  <rowItems count="4">
    <i>
      <x/>
    </i>
    <i i="1">
      <x v="1"/>
    </i>
    <i i="2">
      <x v="2"/>
    </i>
    <i i="3">
      <x v="3"/>
    </i>
  </rowItems>
  <colItems count="1">
    <i/>
  </colItems>
  <dataFields count="4">
    <dataField name="Sum of Total Sales" fld="6" baseField="0" baseItem="0"/>
    <dataField name="Average of Total Sales2" fld="6" subtotal="average" baseField="0" baseItem="0"/>
    <dataField name="Count of Order ID" fld="0" subtotal="count" baseField="0" baseItem="0"/>
    <dataField name="Count of Quantit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056A6-44ED-43F9-802C-F4447CAB6B7A}" name="PivotTable1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Q22" firstHeaderRow="1" firstDataRow="1" firstDataCol="0"/>
  <pivotFields count="16">
    <pivotField showAll="0"/>
    <pivotField numFmtId="14" showAll="0"/>
    <pivotField showAll="0"/>
    <pivotField showAll="0"/>
    <pivotField numFmtId="2" showAll="0"/>
    <pivotField numFmtId="2" showAll="0"/>
    <pivotField numFmtId="2" showAll="0">
      <items count="37">
        <item x="16"/>
        <item x="4"/>
        <item x="8"/>
        <item x="24"/>
        <item x="28"/>
        <item x="7"/>
        <item x="18"/>
        <item x="23"/>
        <item x="19"/>
        <item x="2"/>
        <item x="22"/>
        <item x="9"/>
        <item x="0"/>
        <item x="30"/>
        <item x="25"/>
        <item x="14"/>
        <item x="1"/>
        <item x="3"/>
        <item x="6"/>
        <item x="5"/>
        <item x="29"/>
        <item x="35"/>
        <item x="13"/>
        <item x="12"/>
        <item x="31"/>
        <item x="10"/>
        <item x="11"/>
        <item x="20"/>
        <item x="21"/>
        <item x="27"/>
        <item x="34"/>
        <item x="32"/>
        <item x="17"/>
        <item x="26"/>
        <item x="15"/>
        <item x="33"/>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F716FC-4510-40DD-8E29-E67880317EF4}"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6:N28" firstHeaderRow="1" firstDataRow="1" firstDataCol="1"/>
  <pivotFields count="15">
    <pivotField showAll="0"/>
    <pivotField showAll="0"/>
    <pivotField showAll="0"/>
    <pivotField showAll="0"/>
    <pivotField showAll="0"/>
    <pivotField showAll="0"/>
    <pivotField dataField="1" showAll="0"/>
    <pivotField showAll="0"/>
    <pivotField axis="axisRow" showAll="0">
      <items count="12">
        <item x="6"/>
        <item x="9"/>
        <item x="3"/>
        <item x="2"/>
        <item x="4"/>
        <item x="8"/>
        <item x="5"/>
        <item x="0"/>
        <item x="1"/>
        <item x="7"/>
        <item x="10"/>
        <item t="default"/>
      </items>
    </pivotField>
    <pivotField showAll="0"/>
    <pivotField showAll="0"/>
    <pivotField showAll="0"/>
    <pivotField showAll="0"/>
    <pivotField showAll="0"/>
    <pivotField showAll="0"/>
  </pivotFields>
  <rowFields count="1">
    <field x="8"/>
  </rowFields>
  <rowItems count="12">
    <i>
      <x/>
    </i>
    <i>
      <x v="1"/>
    </i>
    <i>
      <x v="2"/>
    </i>
    <i>
      <x v="3"/>
    </i>
    <i>
      <x v="4"/>
    </i>
    <i>
      <x v="5"/>
    </i>
    <i>
      <x v="6"/>
    </i>
    <i>
      <x v="7"/>
    </i>
    <i>
      <x v="8"/>
    </i>
    <i>
      <x v="9"/>
    </i>
    <i>
      <x v="10"/>
    </i>
    <i t="grand">
      <x/>
    </i>
  </rowItems>
  <colItems count="1">
    <i/>
  </colItems>
  <dataFields count="1">
    <dataField name="Count of Total Sale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0636F9-3593-4FCC-906A-5104A5D8D943}"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N14" firstHeaderRow="1" firstDataRow="1" firstDataCol="1"/>
  <pivotFields count="15">
    <pivotField showAll="0"/>
    <pivotField showAll="0"/>
    <pivotField axis="axisRow" showAll="0" measureFilter="1" includeNewItemsInFilter="1" maxSubtotal="1">
      <items count="12">
        <item x="5"/>
        <item x="1"/>
        <item x="6"/>
        <item x="7"/>
        <item x="9"/>
        <item x="0"/>
        <item x="4"/>
        <item x="2"/>
        <item x="3"/>
        <item x="8"/>
        <item x="10"/>
        <item t="max"/>
      </items>
    </pivotField>
    <pivotField showAll="0"/>
    <pivotField showAll="0"/>
    <pivotField showAll="0"/>
    <pivotField dataField="1" showAll="0"/>
    <pivotField showAll="0"/>
    <pivotField showAll="0">
      <items count="12">
        <item x="6"/>
        <item x="9"/>
        <item x="3"/>
        <item x="2"/>
        <item x="4"/>
        <item x="8"/>
        <item x="5"/>
        <item x="0"/>
        <item x="1"/>
        <item x="7"/>
        <item x="10"/>
        <item t="default"/>
      </items>
    </pivotField>
    <pivotField showAll="0"/>
    <pivotField showAll="0"/>
    <pivotField showAll="0"/>
    <pivotField showAll="0"/>
    <pivotField showAll="0"/>
    <pivotField showAll="0"/>
  </pivotFields>
  <rowFields count="1">
    <field x="2"/>
  </rowFields>
  <rowItems count="2">
    <i>
      <x v="4"/>
    </i>
    <i t="grand">
      <x/>
    </i>
  </rowItems>
  <colItems count="1">
    <i/>
  </colItems>
  <dataFields count="1">
    <dataField name="Sum of Total Sales" fld="6" baseField="0"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8BC867-B207-4726-8419-4DB67B31D560}" name="PivotTable10"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10" firstHeaderRow="1" firstDataRow="1" firstDataCol="1"/>
  <pivotFields count="15">
    <pivotField showAll="0"/>
    <pivotField showAll="0"/>
    <pivotField showAll="0"/>
    <pivotField axis="axisRow" showAll="0">
      <items count="7">
        <item x="3"/>
        <item x="2"/>
        <item x="1"/>
        <item x="0"/>
        <item x="4"/>
        <item x="5"/>
        <item t="default"/>
      </items>
    </pivotField>
    <pivotField showAll="0"/>
    <pivotField dataField="1" showAll="0"/>
    <pivotField showAll="0"/>
    <pivotField showAll="0"/>
    <pivotField showAll="0">
      <items count="12">
        <item x="6"/>
        <item x="9"/>
        <item x="3"/>
        <item x="2"/>
        <item x="4"/>
        <item x="8"/>
        <item x="5"/>
        <item x="0"/>
        <item x="1"/>
        <item x="7"/>
        <item x="10"/>
        <item t="default"/>
      </items>
    </pivotField>
    <pivotField showAll="0"/>
    <pivotField showAll="0">
      <items count="5">
        <item x="0"/>
        <item x="2"/>
        <item x="1"/>
        <item x="3"/>
        <item t="default"/>
      </items>
    </pivotField>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Quantity"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C2F5E9-9493-4CBC-81E1-174443C34B7C}"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9:K21" firstHeaderRow="1" firstDataRow="1" firstDataCol="1"/>
  <pivotFields count="15">
    <pivotField showAll="0"/>
    <pivotField showAll="0"/>
    <pivotField axis="axisRow" showAll="0">
      <items count="12">
        <item x="5"/>
        <item x="1"/>
        <item x="6"/>
        <item x="7"/>
        <item x="9"/>
        <item x="0"/>
        <item x="4"/>
        <item x="2"/>
        <item x="3"/>
        <item x="8"/>
        <item x="10"/>
        <item t="default"/>
      </items>
    </pivotField>
    <pivotField showAll="0"/>
    <pivotField showAll="0"/>
    <pivotField dataField="1" showAll="0"/>
    <pivotField showAll="0"/>
    <pivotField showAll="0"/>
    <pivotField showAll="0">
      <items count="12">
        <item x="6"/>
        <item x="9"/>
        <item x="3"/>
        <item x="2"/>
        <item x="4"/>
        <item x="8"/>
        <item x="5"/>
        <item x="0"/>
        <item x="1"/>
        <item x="7"/>
        <item x="10"/>
        <item t="default"/>
      </items>
    </pivotField>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Count of Quantity"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D306FC-3CFD-4E56-B69B-C4975FC2213B}"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7" firstHeaderRow="1" firstDataRow="1" firstDataCol="1"/>
  <pivotFields count="15">
    <pivotField showAll="0"/>
    <pivotField showAll="0"/>
    <pivotField showAll="0">
      <items count="12">
        <item x="5"/>
        <item x="1"/>
        <item x="6"/>
        <item x="7"/>
        <item x="9"/>
        <item x="0"/>
        <item x="4"/>
        <item x="2"/>
        <item x="3"/>
        <item x="8"/>
        <item x="10"/>
        <item t="default"/>
      </items>
    </pivotField>
    <pivotField showAll="0"/>
    <pivotField showAll="0"/>
    <pivotField showAll="0"/>
    <pivotField dataField="1" showAll="0"/>
    <pivotField showAll="0"/>
    <pivotField showAll="0">
      <items count="12">
        <item x="6"/>
        <item x="9"/>
        <item x="3"/>
        <item x="2"/>
        <item x="4"/>
        <item x="8"/>
        <item x="5"/>
        <item x="0"/>
        <item x="1"/>
        <item x="7"/>
        <item x="10"/>
        <item t="default"/>
      </items>
    </pivotField>
    <pivotField showAll="0"/>
    <pivotField showAll="0"/>
    <pivotField showAll="0"/>
    <pivotField showAll="0"/>
    <pivotField axis="axisRow" showAll="0">
      <items count="5">
        <item x="1"/>
        <item x="0"/>
        <item x="2"/>
        <item h="1" x="3"/>
        <item t="default"/>
      </items>
    </pivotField>
    <pivotField showAll="0"/>
  </pivotFields>
  <rowFields count="1">
    <field x="13"/>
  </rowFields>
  <rowItems count="4">
    <i>
      <x/>
    </i>
    <i>
      <x v="1"/>
    </i>
    <i>
      <x v="2"/>
    </i>
    <i t="grand">
      <x/>
    </i>
  </rowItems>
  <colItems count="1">
    <i/>
  </colItems>
  <dataFields count="1">
    <dataField name="Sum of Total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2412CB-9679-447B-A477-285D9EB52823}"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1:H23" firstHeaderRow="1" firstDataRow="1" firstDataCol="1"/>
  <pivotFields count="15">
    <pivotField showAll="0">
      <items count="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showAll="0"/>
    <pivotField showAll="0"/>
    <pivotField showAll="0"/>
    <pivotField showAll="0"/>
    <pivotField showAll="0"/>
    <pivotField dataField="1" showAll="0"/>
    <pivotField axis="axisRow" showAll="0">
      <items count="12">
        <item x="8"/>
        <item x="7"/>
        <item x="5"/>
        <item x="1"/>
        <item x="0"/>
        <item x="9"/>
        <item x="2"/>
        <item x="6"/>
        <item x="3"/>
        <item x="4"/>
        <item x="10"/>
        <item t="default"/>
      </items>
    </pivotField>
    <pivotField showAll="0">
      <items count="12">
        <item x="6"/>
        <item x="9"/>
        <item x="3"/>
        <item x="2"/>
        <item x="4"/>
        <item x="8"/>
        <item x="5"/>
        <item x="0"/>
        <item x="1"/>
        <item x="7"/>
        <item x="10"/>
        <item t="default"/>
      </items>
    </pivotField>
    <pivotField showAll="0"/>
    <pivotField showAll="0"/>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Total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CF849E-7FC0-4E36-AB32-D165A4BEC388}"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8" firstHeaderRow="1" firstDataRow="1" firstDataCol="1"/>
  <pivotFields count="15">
    <pivotField showAll="0"/>
    <pivotField showAll="0"/>
    <pivotField showAll="0"/>
    <pivotField dataField="1" showAll="0"/>
    <pivotField showAll="0"/>
    <pivotField showAll="0"/>
    <pivotField showAll="0"/>
    <pivotField showAll="0"/>
    <pivotField showAll="0">
      <items count="12">
        <item x="6"/>
        <item x="9"/>
        <item x="3"/>
        <item x="2"/>
        <item x="4"/>
        <item x="8"/>
        <item x="5"/>
        <item x="0"/>
        <item x="1"/>
        <item x="7"/>
        <item x="10"/>
        <item t="default"/>
      </items>
    </pivotField>
    <pivotField showAll="0"/>
    <pivotField axis="axisRow" showAll="0">
      <items count="5">
        <item x="0"/>
        <item x="2"/>
        <item x="1"/>
        <item x="3"/>
        <item t="default"/>
      </items>
    </pivotField>
    <pivotField showAll="0"/>
    <pivotField showAll="0"/>
    <pivotField showAll="0">
      <items count="5">
        <item x="1"/>
        <item x="0"/>
        <item x="2"/>
        <item x="3"/>
        <item t="default"/>
      </items>
    </pivotField>
    <pivotField showAll="0"/>
  </pivotFields>
  <rowFields count="1">
    <field x="10"/>
  </rowFields>
  <rowItems count="5">
    <i>
      <x/>
    </i>
    <i>
      <x v="1"/>
    </i>
    <i>
      <x v="2"/>
    </i>
    <i>
      <x v="3"/>
    </i>
    <i t="grand">
      <x/>
    </i>
  </rowItems>
  <colItems count="1">
    <i/>
  </colItems>
  <dataFields count="1">
    <dataField name="Count of Category" fld="3"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 chart="5" format="9">
      <pivotArea type="data" outline="0" fieldPosition="0">
        <references count="2">
          <reference field="4294967294" count="1" selected="0">
            <x v="0"/>
          </reference>
          <reference field="10" count="1" selected="0">
            <x v="2"/>
          </reference>
        </references>
      </pivotArea>
    </chartFormat>
    <chartFormat chart="5"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BFFF70-8197-4179-A42B-0EC244B16004}"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7:E23" firstHeaderRow="1" firstDataRow="1" firstDataCol="1"/>
  <pivotFields count="15">
    <pivotField showAll="0"/>
    <pivotField showAll="0"/>
    <pivotField showAll="0"/>
    <pivotField showAll="0"/>
    <pivotField showAll="0"/>
    <pivotField showAll="0"/>
    <pivotField showAll="0"/>
    <pivotField dataField="1" showAll="0">
      <items count="12">
        <item x="8"/>
        <item x="7"/>
        <item x="5"/>
        <item x="1"/>
        <item x="0"/>
        <item x="9"/>
        <item x="2"/>
        <item x="6"/>
        <item x="3"/>
        <item x="4"/>
        <item x="10"/>
        <item t="default"/>
      </items>
    </pivotField>
    <pivotField showAll="0">
      <items count="12">
        <item x="6"/>
        <item x="9"/>
        <item x="3"/>
        <item x="2"/>
        <item x="4"/>
        <item x="8"/>
        <item x="5"/>
        <item x="0"/>
        <item x="1"/>
        <item x="7"/>
        <item x="10"/>
        <item t="default"/>
      </items>
    </pivotField>
    <pivotField axis="axisRow" showAll="0">
      <items count="7">
        <item x="1"/>
        <item x="2"/>
        <item x="0"/>
        <item x="4"/>
        <item x="3"/>
        <item h="1" x="5"/>
        <item t="default"/>
      </items>
    </pivotField>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Customer Name" fld="7" subtotal="count" baseField="0" baseItem="0"/>
  </dataFields>
  <chartFormats count="1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3" format="5">
      <pivotArea type="data" outline="0" fieldPosition="0">
        <references count="2">
          <reference field="4294967294" count="1" selected="0">
            <x v="0"/>
          </reference>
          <reference field="9" count="1" selected="0">
            <x v="3"/>
          </reference>
        </references>
      </pivotArea>
    </chartFormat>
    <chartFormat chart="3" format="6">
      <pivotArea type="data" outline="0" fieldPosition="0">
        <references count="2">
          <reference field="4294967294" count="1" selected="0">
            <x v="0"/>
          </reference>
          <reference field="9"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1885BF-639F-4D05-9B28-EC5511B97097}"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4" firstHeaderRow="1" firstDataRow="1" firstDataCol="1"/>
  <pivotFields count="15">
    <pivotField showAll="0"/>
    <pivotField numFmtId="14" showAll="0"/>
    <pivotField showAll="0"/>
    <pivotField showAll="0"/>
    <pivotField numFmtId="2" showAll="0"/>
    <pivotField numFmtId="2" showAll="0"/>
    <pivotField dataField="1" numFmtId="2" showAll="0"/>
    <pivotField showAll="0"/>
    <pivotField axis="axisRow" showAll="0">
      <items count="11">
        <item x="6"/>
        <item x="9"/>
        <item x="3"/>
        <item x="2"/>
        <item x="4"/>
        <item x="8"/>
        <item x="5"/>
        <item x="0"/>
        <item x="1"/>
        <item x="7"/>
        <item t="default"/>
      </items>
    </pivotField>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Total Sales" fld="6" baseField="0" baseItem="0" numFmtId="2"/>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FB79BE-066B-4604-8DE0-EE9654520E14}"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23" firstHeaderRow="1" firstDataRow="1" firstDataCol="1"/>
  <pivotFields count="15">
    <pivotField showAll="0"/>
    <pivotField numFmtId="14" showAll="0"/>
    <pivotField axis="axisRow" showAll="0">
      <items count="11">
        <item x="5"/>
        <item x="1"/>
        <item x="6"/>
        <item x="7"/>
        <item x="9"/>
        <item x="0"/>
        <item x="4"/>
        <item x="2"/>
        <item x="3"/>
        <item x="8"/>
        <item t="default"/>
      </items>
    </pivotField>
    <pivotField showAll="0"/>
    <pivotField numFmtId="2" showAll="0"/>
    <pivotField numFmtId="2" showAll="0"/>
    <pivotField dataField="1" numFmtId="2"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6"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56D768-75F0-43D8-9C88-7DBAB3AD57EE}"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5">
    <pivotField showAll="0">
      <items count="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showAll="0"/>
    <pivotField showAll="0">
      <items count="12">
        <item x="5"/>
        <item x="1"/>
        <item x="6"/>
        <item x="7"/>
        <item x="9"/>
        <item x="0"/>
        <item x="4"/>
        <item x="2"/>
        <item x="3"/>
        <item x="8"/>
        <item x="10"/>
        <item t="default"/>
      </items>
    </pivotField>
    <pivotField axis="axisRow" showAll="0">
      <items count="7">
        <item x="3"/>
        <item x="2"/>
        <item x="1"/>
        <item x="0"/>
        <item x="4"/>
        <item x="5"/>
        <item t="default"/>
      </items>
    </pivotField>
    <pivotField showAll="0"/>
    <pivotField showAll="0"/>
    <pivotField dataField="1" showAll="0"/>
    <pivotField showAll="0"/>
    <pivotField showAll="0">
      <items count="12">
        <item x="6"/>
        <item x="9"/>
        <item x="3"/>
        <item x="2"/>
        <item x="4"/>
        <item x="8"/>
        <item x="5"/>
        <item x="0"/>
        <item x="1"/>
        <item x="7"/>
        <item x="10"/>
        <item t="default"/>
      </items>
    </pivotField>
    <pivotField showAll="0"/>
    <pivotField showAll="0"/>
    <pivotField showAll="0">
      <items count="5">
        <item x="1"/>
        <item x="0"/>
        <item x="2"/>
        <item x="3"/>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Sum of Total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4A342E-9A3F-45B6-B722-C78A99D13E38}" sourceName="Month">
  <pivotTables>
    <pivotTable tabId="2" name="PivotTable16"/>
  </pivotTables>
  <data>
    <tabular pivotCacheId="1698561577">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04784DB-C996-4923-BCC9-60D8C01AC002}" sourceName="Status">
  <pivotTables>
    <pivotTable tabId="2" name="PivotTable16"/>
  </pivotTables>
  <data>
    <tabular pivotCacheId="1698561577">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14C24791-3D9B-4649-90B1-354DA1060300}" sourceName="Customer Location">
  <pivotTables>
    <pivotTable tabId="2" name="PivotTable16"/>
    <pivotTable tabId="2" name="PivotTable1"/>
    <pivotTable tabId="2" name="PivotTable10"/>
    <pivotTable tabId="2" name="PivotTable11"/>
    <pivotTable tabId="2" name="PivotTable12"/>
    <pivotTable tabId="2" name="PivotTable14"/>
    <pivotTable tabId="2" name="PivotTable15"/>
    <pivotTable tabId="2" name="PivotTable4"/>
    <pivotTable tabId="2" name="PivotTable5"/>
    <pivotTable tabId="2" name="PivotTable6"/>
    <pivotTable tabId="2" name="PivotTable7"/>
    <pivotTable tabId="2" name="PivotTable9"/>
  </pivotTables>
  <data>
    <tabular pivotCacheId="1698561577">
      <items count="11">
        <i x="6" s="1"/>
        <i x="9" s="1"/>
        <i x="3" s="1"/>
        <i x="2" s="1"/>
        <i x="4" s="1"/>
        <i x="8" s="1"/>
        <i x="5" s="1"/>
        <i x="0" s="1"/>
        <i x="1" s="1"/>
        <i x="7"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E81922-2E8F-42AB-A2DD-A7FD0DB2BF0C}" sourceName="Category">
  <pivotTables>
    <pivotTable tabId="2" name="PivotTable16"/>
  </pivotTables>
  <data>
    <tabular pivotCacheId="1698561577">
      <items count="6">
        <i x="3" s="1"/>
        <i x="2" s="1"/>
        <i x="1" s="1"/>
        <i x="0"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8FA3759-EF08-4C16-9C02-4856BDBBFD3E}" cache="Slicer_Month" caption="Month" style="SlicerStyleDark5" rowHeight="360000"/>
  <slicer name="Status" xr10:uid="{9036D09C-B50C-4790-995D-FCE0A43C670F}" cache="Slicer_Status" caption="Status" style="SlicerStyleDark5" rowHeight="360000"/>
  <slicer name="Customer Location" xr10:uid="{FF93C787-FE72-4FF5-B04A-64A32028C71C}" cache="Slicer_Customer_Location" caption="Customer Location" style="SlicerStyleDark5" rowHeight="288000"/>
  <slicer name="Category" xr10:uid="{6FBA36ED-771A-44FE-868D-2AD054F07C27}" cache="Slicer_Category" caption="Category" style="SlicerStyleDark5"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B3BB-C3EA-4CD4-912D-E00BBC1A85C4}">
  <dimension ref="A3:V45"/>
  <sheetViews>
    <sheetView zoomScale="41" workbookViewId="0">
      <selection activeCell="J30" sqref="J30"/>
    </sheetView>
  </sheetViews>
  <sheetFormatPr defaultRowHeight="14.5" x14ac:dyDescent="0.35"/>
  <cols>
    <col min="1" max="1" width="20.26953125" bestFit="1" customWidth="1"/>
    <col min="2" max="2" width="23.81640625" bestFit="1" customWidth="1"/>
    <col min="4" max="4" width="20.26953125" bestFit="1" customWidth="1"/>
    <col min="5" max="5" width="31.54296875" bestFit="1" customWidth="1"/>
    <col min="6" max="6" width="11.54296875" bestFit="1" customWidth="1"/>
    <col min="7" max="7" width="20.26953125" bestFit="1" customWidth="1"/>
    <col min="8" max="8" width="23.81640625" bestFit="1" customWidth="1"/>
    <col min="9" max="9" width="16.08984375" bestFit="1" customWidth="1"/>
    <col min="10" max="10" width="20.26953125" bestFit="1" customWidth="1"/>
    <col min="11" max="11" width="22.26953125" bestFit="1" customWidth="1"/>
    <col min="12" max="12" width="15.26953125" bestFit="1" customWidth="1"/>
    <col min="13" max="13" width="20.26953125" bestFit="1" customWidth="1"/>
    <col min="14" max="14" width="23.81640625" bestFit="1" customWidth="1"/>
    <col min="15" max="15" width="30.81640625" bestFit="1" customWidth="1"/>
    <col min="16" max="16" width="20.1796875" bestFit="1" customWidth="1"/>
    <col min="17" max="17" width="6.81640625" bestFit="1" customWidth="1"/>
    <col min="18" max="18" width="15.81640625" bestFit="1" customWidth="1"/>
    <col min="19" max="19" width="16" bestFit="1" customWidth="1"/>
    <col min="20" max="20" width="15.7265625" bestFit="1" customWidth="1"/>
    <col min="21" max="21" width="19" customWidth="1"/>
    <col min="22" max="22" width="21.08984375" customWidth="1"/>
    <col min="23" max="23" width="15.7265625" bestFit="1" customWidth="1"/>
    <col min="24" max="24" width="10.7265625" bestFit="1" customWidth="1"/>
  </cols>
  <sheetData>
    <row r="3" spans="1:17" x14ac:dyDescent="0.35">
      <c r="A3" s="14" t="s">
        <v>308</v>
      </c>
      <c r="B3" t="s">
        <v>311</v>
      </c>
      <c r="D3" s="14" t="s">
        <v>308</v>
      </c>
      <c r="E3" t="s">
        <v>311</v>
      </c>
      <c r="G3" s="14" t="s">
        <v>308</v>
      </c>
      <c r="H3" t="s">
        <v>314</v>
      </c>
      <c r="J3" s="14" t="s">
        <v>308</v>
      </c>
      <c r="K3" t="s">
        <v>311</v>
      </c>
      <c r="M3" s="14" t="s">
        <v>308</v>
      </c>
      <c r="N3" t="s">
        <v>318</v>
      </c>
    </row>
    <row r="4" spans="1:17" x14ac:dyDescent="0.35">
      <c r="A4" s="15" t="s">
        <v>50</v>
      </c>
      <c r="B4" s="16">
        <v>1035</v>
      </c>
      <c r="D4" s="15" t="s">
        <v>46</v>
      </c>
      <c r="E4" s="17">
        <v>26170</v>
      </c>
      <c r="G4" s="15" t="s">
        <v>17</v>
      </c>
      <c r="H4" s="16">
        <v>77</v>
      </c>
      <c r="J4" s="15" t="s">
        <v>315</v>
      </c>
      <c r="K4" s="16">
        <v>122695</v>
      </c>
      <c r="M4" s="15" t="s">
        <v>50</v>
      </c>
      <c r="N4" s="16">
        <v>25</v>
      </c>
    </row>
    <row r="5" spans="1:17" x14ac:dyDescent="0.35">
      <c r="A5" s="15" t="s">
        <v>36</v>
      </c>
      <c r="B5" s="16">
        <v>3540</v>
      </c>
      <c r="D5" s="15" t="s">
        <v>81</v>
      </c>
      <c r="E5" s="17">
        <v>20810</v>
      </c>
      <c r="G5" s="15" t="s">
        <v>40</v>
      </c>
      <c r="H5" s="16">
        <v>88</v>
      </c>
      <c r="J5" s="15" t="s">
        <v>316</v>
      </c>
      <c r="K5" s="16">
        <v>117730</v>
      </c>
      <c r="M5" s="15" t="s">
        <v>36</v>
      </c>
      <c r="N5" s="16">
        <v>40</v>
      </c>
      <c r="O5" s="5"/>
      <c r="P5" s="6"/>
      <c r="Q5" s="7"/>
    </row>
    <row r="6" spans="1:17" x14ac:dyDescent="0.35">
      <c r="A6" s="15" t="s">
        <v>20</v>
      </c>
      <c r="B6" s="16">
        <v>129950</v>
      </c>
      <c r="D6" s="15" t="s">
        <v>30</v>
      </c>
      <c r="E6" s="17">
        <v>27145</v>
      </c>
      <c r="G6" s="15" t="s">
        <v>23</v>
      </c>
      <c r="H6" s="16">
        <v>85</v>
      </c>
      <c r="J6" s="15" t="s">
        <v>317</v>
      </c>
      <c r="K6" s="16">
        <v>3420</v>
      </c>
      <c r="M6" s="15" t="s">
        <v>20</v>
      </c>
      <c r="N6" s="16">
        <v>118</v>
      </c>
      <c r="O6" s="8"/>
      <c r="P6" s="9"/>
      <c r="Q6" s="10"/>
    </row>
    <row r="7" spans="1:17" x14ac:dyDescent="0.35">
      <c r="A7" s="15" t="s">
        <v>13</v>
      </c>
      <c r="B7" s="16">
        <v>4320</v>
      </c>
      <c r="D7" s="15" t="s">
        <v>26</v>
      </c>
      <c r="E7" s="17">
        <v>29785</v>
      </c>
      <c r="G7" s="15" t="s">
        <v>309</v>
      </c>
      <c r="H7" s="16"/>
      <c r="J7" s="15" t="s">
        <v>310</v>
      </c>
      <c r="K7" s="16">
        <v>243845</v>
      </c>
      <c r="M7" s="15" t="s">
        <v>13</v>
      </c>
      <c r="N7" s="16">
        <v>27</v>
      </c>
      <c r="O7" s="8"/>
      <c r="P7" s="9"/>
      <c r="Q7" s="10"/>
    </row>
    <row r="8" spans="1:17" x14ac:dyDescent="0.35">
      <c r="A8" s="15" t="s">
        <v>61</v>
      </c>
      <c r="B8" s="16">
        <v>105000</v>
      </c>
      <c r="D8" s="15" t="s">
        <v>38</v>
      </c>
      <c r="E8" s="17">
        <v>28390</v>
      </c>
      <c r="G8" s="15" t="s">
        <v>310</v>
      </c>
      <c r="H8" s="16">
        <v>250</v>
      </c>
      <c r="M8" s="15" t="s">
        <v>61</v>
      </c>
      <c r="N8" s="16">
        <v>40</v>
      </c>
      <c r="O8" s="8"/>
      <c r="P8" s="9"/>
      <c r="Q8" s="10"/>
    </row>
    <row r="9" spans="1:17" x14ac:dyDescent="0.35">
      <c r="A9" s="15" t="s">
        <v>309</v>
      </c>
      <c r="B9" s="16"/>
      <c r="D9" s="15" t="s">
        <v>68</v>
      </c>
      <c r="E9" s="17">
        <v>17820</v>
      </c>
      <c r="J9" s="14" t="s">
        <v>308</v>
      </c>
      <c r="K9" t="s">
        <v>318</v>
      </c>
      <c r="M9" s="15" t="s">
        <v>309</v>
      </c>
      <c r="N9" s="16"/>
      <c r="O9" s="8"/>
      <c r="P9" s="9"/>
      <c r="Q9" s="10"/>
    </row>
    <row r="10" spans="1:17" x14ac:dyDescent="0.35">
      <c r="A10" s="15" t="s">
        <v>310</v>
      </c>
      <c r="B10" s="16">
        <v>243845</v>
      </c>
      <c r="D10" s="15" t="s">
        <v>44</v>
      </c>
      <c r="E10" s="17">
        <v>31700</v>
      </c>
      <c r="J10" s="15" t="s">
        <v>49</v>
      </c>
      <c r="K10" s="16">
        <v>25</v>
      </c>
      <c r="M10" s="15" t="s">
        <v>310</v>
      </c>
      <c r="N10" s="16">
        <v>250</v>
      </c>
      <c r="O10" s="8"/>
      <c r="P10" s="9"/>
      <c r="Q10" s="10"/>
    </row>
    <row r="11" spans="1:17" x14ac:dyDescent="0.35">
      <c r="D11" s="15" t="s">
        <v>15</v>
      </c>
      <c r="E11" s="17">
        <v>18940</v>
      </c>
      <c r="G11" s="14" t="s">
        <v>308</v>
      </c>
      <c r="H11" t="s">
        <v>311</v>
      </c>
      <c r="J11" s="15" t="s">
        <v>19</v>
      </c>
      <c r="K11" s="16">
        <v>25</v>
      </c>
      <c r="O11" s="8"/>
      <c r="P11" s="9"/>
      <c r="Q11" s="10"/>
    </row>
    <row r="12" spans="1:17" x14ac:dyDescent="0.35">
      <c r="A12" s="14" t="s">
        <v>308</v>
      </c>
      <c r="B12" t="s">
        <v>311</v>
      </c>
      <c r="D12" s="15" t="s">
        <v>22</v>
      </c>
      <c r="E12" s="17">
        <v>16195</v>
      </c>
      <c r="G12" s="15" t="s">
        <v>72</v>
      </c>
      <c r="H12" s="16">
        <v>18885</v>
      </c>
      <c r="J12" s="15" t="s">
        <v>53</v>
      </c>
      <c r="K12" s="16">
        <v>20</v>
      </c>
      <c r="M12" s="14" t="s">
        <v>308</v>
      </c>
      <c r="N12" t="s">
        <v>311</v>
      </c>
      <c r="O12" s="8"/>
      <c r="P12" s="9"/>
      <c r="Q12" s="10"/>
    </row>
    <row r="13" spans="1:17" x14ac:dyDescent="0.35">
      <c r="A13" s="15" t="s">
        <v>49</v>
      </c>
      <c r="B13" s="17">
        <v>1035</v>
      </c>
      <c r="D13" s="15" t="s">
        <v>63</v>
      </c>
      <c r="E13" s="17">
        <v>26890</v>
      </c>
      <c r="G13" s="15" t="s">
        <v>57</v>
      </c>
      <c r="H13" s="16">
        <v>18945</v>
      </c>
      <c r="J13" s="15" t="s">
        <v>56</v>
      </c>
      <c r="K13" s="16">
        <v>24</v>
      </c>
      <c r="M13" s="15" t="s">
        <v>65</v>
      </c>
      <c r="N13" s="16">
        <v>78000</v>
      </c>
      <c r="O13" s="8"/>
      <c r="P13" s="9"/>
      <c r="Q13" s="10"/>
    </row>
    <row r="14" spans="1:17" x14ac:dyDescent="0.35">
      <c r="A14" s="15" t="s">
        <v>19</v>
      </c>
      <c r="B14" s="17">
        <v>7300</v>
      </c>
      <c r="D14" s="15" t="s">
        <v>310</v>
      </c>
      <c r="E14" s="17">
        <v>243845</v>
      </c>
      <c r="G14" s="15" t="s">
        <v>51</v>
      </c>
      <c r="H14" s="16">
        <v>22665</v>
      </c>
      <c r="J14" s="15" t="s">
        <v>65</v>
      </c>
      <c r="K14" s="16">
        <v>24</v>
      </c>
      <c r="M14" s="15" t="s">
        <v>310</v>
      </c>
      <c r="N14" s="16">
        <v>78000</v>
      </c>
      <c r="O14" s="8"/>
      <c r="P14" s="9"/>
      <c r="Q14" s="10"/>
    </row>
    <row r="15" spans="1:17" x14ac:dyDescent="0.35">
      <c r="A15" s="15" t="s">
        <v>53</v>
      </c>
      <c r="B15" s="17">
        <v>2480</v>
      </c>
      <c r="G15" s="15" t="s">
        <v>21</v>
      </c>
      <c r="H15" s="16">
        <v>23475</v>
      </c>
      <c r="J15" s="15" t="s">
        <v>12</v>
      </c>
      <c r="K15" s="16">
        <v>27</v>
      </c>
      <c r="O15" s="8"/>
      <c r="P15" s="9"/>
      <c r="Q15" s="10"/>
    </row>
    <row r="16" spans="1:17" x14ac:dyDescent="0.35">
      <c r="A16" s="15" t="s">
        <v>56</v>
      </c>
      <c r="B16" s="17">
        <v>58400</v>
      </c>
      <c r="G16" s="15" t="s">
        <v>14</v>
      </c>
      <c r="H16" s="16">
        <v>29700</v>
      </c>
      <c r="J16" s="15" t="s">
        <v>42</v>
      </c>
      <c r="K16" s="16">
        <v>35</v>
      </c>
      <c r="M16" s="14" t="s">
        <v>308</v>
      </c>
      <c r="N16" t="s">
        <v>312</v>
      </c>
      <c r="O16" s="8"/>
      <c r="P16" s="9"/>
      <c r="Q16" s="10"/>
    </row>
    <row r="17" spans="1:19" x14ac:dyDescent="0.35">
      <c r="A17" s="15" t="s">
        <v>65</v>
      </c>
      <c r="B17" s="17">
        <v>78000</v>
      </c>
      <c r="D17" s="14" t="s">
        <v>308</v>
      </c>
      <c r="E17" t="s">
        <v>313</v>
      </c>
      <c r="G17" s="15" t="s">
        <v>80</v>
      </c>
      <c r="H17" s="16">
        <v>31185</v>
      </c>
      <c r="J17" s="15" t="s">
        <v>33</v>
      </c>
      <c r="K17" s="16">
        <v>34</v>
      </c>
      <c r="M17" s="15" t="s">
        <v>46</v>
      </c>
      <c r="N17" s="16">
        <v>26</v>
      </c>
      <c r="O17" s="8"/>
      <c r="P17" s="9"/>
      <c r="Q17" s="10"/>
    </row>
    <row r="18" spans="1:19" x14ac:dyDescent="0.35">
      <c r="A18" s="15" t="s">
        <v>12</v>
      </c>
      <c r="B18" s="17">
        <v>4320</v>
      </c>
      <c r="D18" s="15" t="s">
        <v>27</v>
      </c>
      <c r="E18" s="16">
        <v>41</v>
      </c>
      <c r="G18" s="15" t="s">
        <v>25</v>
      </c>
      <c r="H18" s="16">
        <v>26870</v>
      </c>
      <c r="J18" s="15" t="s">
        <v>35</v>
      </c>
      <c r="K18" s="16">
        <v>20</v>
      </c>
      <c r="M18" s="15" t="s">
        <v>81</v>
      </c>
      <c r="N18" s="16">
        <v>22</v>
      </c>
      <c r="O18" s="8"/>
      <c r="P18" s="9"/>
      <c r="Q18" s="10"/>
    </row>
    <row r="19" spans="1:19" x14ac:dyDescent="0.35">
      <c r="A19" s="15" t="s">
        <v>42</v>
      </c>
      <c r="B19" s="17">
        <v>48500</v>
      </c>
      <c r="D19" s="15" t="s">
        <v>31</v>
      </c>
      <c r="E19" s="16">
        <v>54</v>
      </c>
      <c r="G19" s="15" t="s">
        <v>54</v>
      </c>
      <c r="H19" s="16">
        <v>22655</v>
      </c>
      <c r="J19" s="15" t="s">
        <v>60</v>
      </c>
      <c r="K19" s="16">
        <v>16</v>
      </c>
      <c r="M19" s="15" t="s">
        <v>30</v>
      </c>
      <c r="N19" s="16">
        <v>29</v>
      </c>
      <c r="O19" s="8"/>
      <c r="P19" s="9"/>
      <c r="Q19" s="10"/>
    </row>
    <row r="20" spans="1:19" x14ac:dyDescent="0.35">
      <c r="A20" s="15" t="s">
        <v>33</v>
      </c>
      <c r="B20" s="17">
        <v>15750</v>
      </c>
      <c r="D20" s="15" t="s">
        <v>16</v>
      </c>
      <c r="E20" s="16">
        <v>53</v>
      </c>
      <c r="G20" s="15" t="s">
        <v>29</v>
      </c>
      <c r="H20" s="16">
        <v>36170</v>
      </c>
      <c r="J20" s="15" t="s">
        <v>309</v>
      </c>
      <c r="K20" s="16"/>
      <c r="M20" s="15" t="s">
        <v>26</v>
      </c>
      <c r="N20" s="16">
        <v>26</v>
      </c>
      <c r="O20" s="8"/>
      <c r="P20" s="9"/>
      <c r="Q20" s="10"/>
    </row>
    <row r="21" spans="1:19" x14ac:dyDescent="0.35">
      <c r="A21" s="15" t="s">
        <v>35</v>
      </c>
      <c r="B21" s="17">
        <v>1060</v>
      </c>
      <c r="D21" s="15" t="s">
        <v>58</v>
      </c>
      <c r="E21" s="16">
        <v>42</v>
      </c>
      <c r="G21" s="15" t="s">
        <v>43</v>
      </c>
      <c r="H21" s="16">
        <v>13295</v>
      </c>
      <c r="J21" s="15" t="s">
        <v>310</v>
      </c>
      <c r="K21" s="16">
        <v>250</v>
      </c>
      <c r="M21" s="15" t="s">
        <v>38</v>
      </c>
      <c r="N21" s="16">
        <v>32</v>
      </c>
      <c r="O21" s="8"/>
      <c r="P21" s="9"/>
      <c r="Q21" s="10"/>
    </row>
    <row r="22" spans="1:19" x14ac:dyDescent="0.35">
      <c r="A22" s="15" t="s">
        <v>60</v>
      </c>
      <c r="B22" s="17">
        <v>27000</v>
      </c>
      <c r="D22" s="15" t="s">
        <v>39</v>
      </c>
      <c r="E22" s="16">
        <v>60</v>
      </c>
      <c r="G22" s="15" t="s">
        <v>309</v>
      </c>
      <c r="H22" s="16"/>
      <c r="M22" s="15" t="s">
        <v>68</v>
      </c>
      <c r="N22" s="16">
        <v>17</v>
      </c>
      <c r="O22" s="11"/>
      <c r="P22" s="12"/>
      <c r="Q22" s="13"/>
    </row>
    <row r="23" spans="1:19" x14ac:dyDescent="0.35">
      <c r="A23" s="15" t="s">
        <v>310</v>
      </c>
      <c r="B23" s="17">
        <v>243845</v>
      </c>
      <c r="D23" s="15" t="s">
        <v>310</v>
      </c>
      <c r="E23" s="16">
        <v>250</v>
      </c>
      <c r="G23" s="15" t="s">
        <v>310</v>
      </c>
      <c r="H23" s="16">
        <v>243845</v>
      </c>
      <c r="M23" s="15" t="s">
        <v>44</v>
      </c>
      <c r="N23" s="16">
        <v>31</v>
      </c>
    </row>
    <row r="24" spans="1:19" x14ac:dyDescent="0.35">
      <c r="M24" s="15" t="s">
        <v>15</v>
      </c>
      <c r="N24" s="16">
        <v>26</v>
      </c>
    </row>
    <row r="25" spans="1:19" x14ac:dyDescent="0.35">
      <c r="M25" s="15" t="s">
        <v>22</v>
      </c>
      <c r="N25" s="16">
        <v>19</v>
      </c>
    </row>
    <row r="26" spans="1:19" x14ac:dyDescent="0.35">
      <c r="M26" s="15" t="s">
        <v>63</v>
      </c>
      <c r="N26" s="16">
        <v>22</v>
      </c>
    </row>
    <row r="27" spans="1:19" x14ac:dyDescent="0.35">
      <c r="M27" s="15" t="s">
        <v>309</v>
      </c>
      <c r="N27" s="16"/>
    </row>
    <row r="28" spans="1:19" x14ac:dyDescent="0.35">
      <c r="M28" s="15" t="s">
        <v>310</v>
      </c>
      <c r="N28" s="16">
        <v>250</v>
      </c>
      <c r="P28" s="14" t="s">
        <v>322</v>
      </c>
      <c r="S28" t="s">
        <v>323</v>
      </c>
    </row>
    <row r="29" spans="1:19" x14ac:dyDescent="0.35">
      <c r="P29" s="15" t="s">
        <v>311</v>
      </c>
      <c r="Q29" s="16">
        <v>243845</v>
      </c>
      <c r="S29" s="16">
        <v>243845</v>
      </c>
    </row>
    <row r="30" spans="1:19" x14ac:dyDescent="0.35">
      <c r="P30" s="15" t="s">
        <v>321</v>
      </c>
      <c r="Q30" s="16">
        <v>975.38</v>
      </c>
    </row>
    <row r="31" spans="1:19" x14ac:dyDescent="0.35">
      <c r="P31" s="15" t="s">
        <v>320</v>
      </c>
      <c r="Q31" s="16">
        <v>250</v>
      </c>
    </row>
    <row r="32" spans="1:19" x14ac:dyDescent="0.35">
      <c r="P32" s="15" t="s">
        <v>318</v>
      </c>
      <c r="Q32" s="16">
        <v>250</v>
      </c>
    </row>
    <row r="33" spans="13:22" x14ac:dyDescent="0.35">
      <c r="M33" s="14" t="s">
        <v>308</v>
      </c>
      <c r="N33" t="s">
        <v>311</v>
      </c>
      <c r="S33" t="s">
        <v>324</v>
      </c>
      <c r="T33" t="s">
        <v>325</v>
      </c>
      <c r="U33" t="s">
        <v>326</v>
      </c>
      <c r="V33" t="s">
        <v>327</v>
      </c>
    </row>
    <row r="34" spans="13:22" x14ac:dyDescent="0.35">
      <c r="M34" s="15" t="s">
        <v>49</v>
      </c>
      <c r="N34" s="16">
        <v>1035</v>
      </c>
      <c r="S34">
        <f>Q29</f>
        <v>243845</v>
      </c>
      <c r="T34">
        <f>Q30</f>
        <v>975.38</v>
      </c>
      <c r="U34">
        <f>Q31</f>
        <v>250</v>
      </c>
      <c r="V34">
        <f>Q31</f>
        <v>250</v>
      </c>
    </row>
    <row r="35" spans="13:22" x14ac:dyDescent="0.35">
      <c r="M35" s="15" t="s">
        <v>19</v>
      </c>
      <c r="N35" s="16">
        <v>7300</v>
      </c>
    </row>
    <row r="36" spans="13:22" x14ac:dyDescent="0.35">
      <c r="M36" s="15" t="s">
        <v>53</v>
      </c>
      <c r="N36" s="16">
        <v>2480</v>
      </c>
    </row>
    <row r="37" spans="13:22" x14ac:dyDescent="0.35">
      <c r="M37" s="15" t="s">
        <v>56</v>
      </c>
      <c r="N37" s="16">
        <v>58400</v>
      </c>
    </row>
    <row r="38" spans="13:22" x14ac:dyDescent="0.35">
      <c r="M38" s="15" t="s">
        <v>65</v>
      </c>
      <c r="N38" s="16">
        <v>78000</v>
      </c>
    </row>
    <row r="39" spans="13:22" x14ac:dyDescent="0.35">
      <c r="M39" s="15" t="s">
        <v>12</v>
      </c>
      <c r="N39" s="16">
        <v>4320</v>
      </c>
    </row>
    <row r="40" spans="13:22" x14ac:dyDescent="0.35">
      <c r="M40" s="15" t="s">
        <v>42</v>
      </c>
      <c r="N40" s="16">
        <v>48500</v>
      </c>
    </row>
    <row r="41" spans="13:22" x14ac:dyDescent="0.35">
      <c r="M41" s="15" t="s">
        <v>33</v>
      </c>
      <c r="N41" s="16">
        <v>15750</v>
      </c>
    </row>
    <row r="42" spans="13:22" x14ac:dyDescent="0.35">
      <c r="M42" s="15" t="s">
        <v>35</v>
      </c>
      <c r="N42" s="16">
        <v>1060</v>
      </c>
    </row>
    <row r="43" spans="13:22" x14ac:dyDescent="0.35">
      <c r="M43" s="15" t="s">
        <v>60</v>
      </c>
      <c r="N43" s="16">
        <v>27000</v>
      </c>
    </row>
    <row r="44" spans="13:22" x14ac:dyDescent="0.35">
      <c r="M44" s="15" t="s">
        <v>309</v>
      </c>
      <c r="N44" s="16"/>
    </row>
    <row r="45" spans="13:22" x14ac:dyDescent="0.35">
      <c r="M45" s="15" t="s">
        <v>310</v>
      </c>
      <c r="N45" s="16">
        <v>243845</v>
      </c>
    </row>
  </sheetData>
  <autoFilter ref="S33:V34" xr:uid="{2CF9B3BB-C3EA-4CD4-912D-E00BBC1A85C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E96F-39DD-407E-AE4D-B56E4F5AC909}">
  <dimension ref="A1:CS8"/>
  <sheetViews>
    <sheetView showGridLines="0" showRowColHeaders="0" tabSelected="1" topLeftCell="A2" zoomScale="33" zoomScaleNormal="25" workbookViewId="0">
      <selection activeCell="AN32" sqref="AN32"/>
    </sheetView>
  </sheetViews>
  <sheetFormatPr defaultRowHeight="14.5" x14ac:dyDescent="0.35"/>
  <cols>
    <col min="1" max="16384" width="8.7265625" style="18"/>
  </cols>
  <sheetData>
    <row r="1" spans="1:97" ht="21" x14ac:dyDescent="0.5">
      <c r="A1" s="19"/>
      <c r="B1" s="19"/>
      <c r="C1" s="19"/>
      <c r="D1" s="19"/>
      <c r="E1" s="19"/>
      <c r="F1" s="19"/>
      <c r="G1" s="19"/>
      <c r="H1" s="20"/>
      <c r="I1" s="20"/>
      <c r="J1" s="20"/>
      <c r="K1" s="21"/>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row>
    <row r="2" spans="1:97" ht="21" x14ac:dyDescent="0.5">
      <c r="A2" s="19"/>
      <c r="B2" s="19"/>
      <c r="C2" s="19"/>
      <c r="D2" s="19"/>
      <c r="E2" s="19"/>
      <c r="F2" s="19"/>
      <c r="G2" s="19"/>
      <c r="H2" s="20" t="s">
        <v>319</v>
      </c>
      <c r="I2" s="20"/>
      <c r="J2" s="19"/>
      <c r="K2" s="21"/>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row>
    <row r="3" spans="1:97" x14ac:dyDescent="0.3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row>
    <row r="4" spans="1:97" x14ac:dyDescent="0.35">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row>
    <row r="5" spans="1:97" x14ac:dyDescent="0.3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row>
    <row r="6" spans="1:97" x14ac:dyDescent="0.35">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row>
    <row r="7" spans="1:97" x14ac:dyDescent="0.35">
      <c r="A7" s="19"/>
      <c r="B7" s="19"/>
      <c r="C7" s="19"/>
      <c r="D7" s="19"/>
      <c r="E7" s="19"/>
      <c r="F7" s="19"/>
      <c r="G7" s="19"/>
      <c r="H7" s="19"/>
      <c r="I7" s="19"/>
      <c r="J7" s="22"/>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row>
    <row r="8" spans="1:97"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CD51C-84E8-4AA7-BE92-C6500495DDDB}">
  <dimension ref="A1:P251"/>
  <sheetViews>
    <sheetView zoomScale="69" workbookViewId="0">
      <selection activeCell="P19" sqref="P19"/>
    </sheetView>
  </sheetViews>
  <sheetFormatPr defaultRowHeight="14.5" x14ac:dyDescent="0.35"/>
  <cols>
    <col min="1" max="1" width="13.1796875" style="2" customWidth="1"/>
    <col min="2" max="2" width="15.7265625" style="3" customWidth="1"/>
    <col min="3" max="3" width="19.54296875" style="2" customWidth="1"/>
    <col min="4" max="4" width="15.54296875" style="2" customWidth="1"/>
    <col min="5" max="5" width="10.81640625" style="4" bestFit="1" customWidth="1"/>
    <col min="6" max="6" width="8.7265625" style="4"/>
    <col min="7" max="7" width="12.08984375" style="4" customWidth="1"/>
    <col min="8" max="8" width="21.7265625" style="2" customWidth="1"/>
    <col min="9" max="9" width="19.6328125" style="2" customWidth="1"/>
    <col min="10" max="10" width="16.1796875" style="2" customWidth="1"/>
    <col min="11" max="11" width="11.08984375" style="2" customWidth="1"/>
    <col min="14" max="14" width="18.81640625" style="2" customWidth="1"/>
    <col min="15" max="15" width="24.6328125" style="1" customWidth="1"/>
  </cols>
  <sheetData>
    <row r="1" spans="1:16" x14ac:dyDescent="0.35">
      <c r="A1" s="2" t="s">
        <v>0</v>
      </c>
      <c r="B1" s="3" t="s">
        <v>1</v>
      </c>
      <c r="C1" s="2" t="s">
        <v>2</v>
      </c>
      <c r="D1" s="2" t="s">
        <v>3</v>
      </c>
      <c r="E1" s="4" t="s">
        <v>4</v>
      </c>
      <c r="F1" s="4" t="s">
        <v>5</v>
      </c>
      <c r="G1" s="4" t="s">
        <v>6</v>
      </c>
      <c r="H1" s="2" t="s">
        <v>7</v>
      </c>
      <c r="I1" s="2" t="s">
        <v>8</v>
      </c>
      <c r="J1" s="2" t="s">
        <v>9</v>
      </c>
      <c r="K1" s="2" t="s">
        <v>10</v>
      </c>
      <c r="L1" s="2" t="s">
        <v>304</v>
      </c>
      <c r="M1" s="2" t="s">
        <v>305</v>
      </c>
      <c r="N1" s="2" t="s">
        <v>306</v>
      </c>
      <c r="O1" s="2" t="s">
        <v>307</v>
      </c>
      <c r="P1" s="2"/>
    </row>
    <row r="2" spans="1:16" x14ac:dyDescent="0.35">
      <c r="A2" s="2" t="s">
        <v>11</v>
      </c>
      <c r="B2" s="3">
        <v>45730</v>
      </c>
      <c r="C2" s="2" t="s">
        <v>12</v>
      </c>
      <c r="D2" s="2" t="s">
        <v>13</v>
      </c>
      <c r="E2" s="4">
        <v>60</v>
      </c>
      <c r="F2" s="4">
        <v>3</v>
      </c>
      <c r="G2" s="4">
        <v>180</v>
      </c>
      <c r="H2" s="2" t="s">
        <v>14</v>
      </c>
      <c r="I2" s="2" t="s">
        <v>15</v>
      </c>
      <c r="J2" s="2" t="s">
        <v>16</v>
      </c>
      <c r="K2" s="2" t="s">
        <v>17</v>
      </c>
      <c r="L2" cm="1">
        <f t="array" ref="L2:L251">MONTH(B2:B251)</f>
        <v>3</v>
      </c>
      <c r="M2" cm="1">
        <f t="array" ref="M2:M251">YEAR(B2:B251)</f>
        <v>2025</v>
      </c>
      <c r="N2" s="2" t="str" cm="1">
        <f t="array" ref="N2:N251">TEXT(B2:B251,"YYYY-MM")</f>
        <v>2025-03</v>
      </c>
      <c r="O2" s="1" t="str">
        <f>IF(K2="Cancelled","Cancelled",IF(K2="Completed","Completed","Pending"))</f>
        <v>Cancelled</v>
      </c>
    </row>
    <row r="3" spans="1:16" x14ac:dyDescent="0.35">
      <c r="A3" s="2" t="s">
        <v>18</v>
      </c>
      <c r="B3" s="3">
        <v>45736</v>
      </c>
      <c r="C3" s="2" t="s">
        <v>19</v>
      </c>
      <c r="D3" s="2" t="s">
        <v>20</v>
      </c>
      <c r="E3" s="4">
        <v>100</v>
      </c>
      <c r="F3" s="4">
        <v>4</v>
      </c>
      <c r="G3" s="4">
        <v>400</v>
      </c>
      <c r="H3" s="2" t="s">
        <v>21</v>
      </c>
      <c r="I3" s="2" t="s">
        <v>22</v>
      </c>
      <c r="J3" s="2" t="s">
        <v>16</v>
      </c>
      <c r="K3" s="2" t="s">
        <v>23</v>
      </c>
      <c r="L3">
        <v>3</v>
      </c>
      <c r="M3">
        <v>2025</v>
      </c>
      <c r="N3" s="2" t="str">
        <v>2025-03</v>
      </c>
      <c r="O3" s="1" t="str">
        <f t="shared" ref="O3:O66" si="0">IF(K3="Cancelled","Cancelled",IF(K3="Completed","Completed","Pending"))</f>
        <v>Pending</v>
      </c>
    </row>
    <row r="4" spans="1:16" x14ac:dyDescent="0.35">
      <c r="A4" s="2" t="s">
        <v>24</v>
      </c>
      <c r="B4" s="3">
        <v>45703</v>
      </c>
      <c r="C4" s="2" t="s">
        <v>12</v>
      </c>
      <c r="D4" s="2" t="s">
        <v>13</v>
      </c>
      <c r="E4" s="4">
        <v>60</v>
      </c>
      <c r="F4" s="4">
        <v>2</v>
      </c>
      <c r="G4" s="4">
        <v>120</v>
      </c>
      <c r="H4" s="2" t="s">
        <v>25</v>
      </c>
      <c r="I4" s="2" t="s">
        <v>26</v>
      </c>
      <c r="J4" s="2" t="s">
        <v>27</v>
      </c>
      <c r="K4" s="2" t="s">
        <v>17</v>
      </c>
      <c r="L4">
        <v>2</v>
      </c>
      <c r="M4">
        <v>2025</v>
      </c>
      <c r="N4" s="2" t="str">
        <v>2025-02</v>
      </c>
      <c r="O4" s="1" t="str">
        <f t="shared" si="0"/>
        <v>Cancelled</v>
      </c>
    </row>
    <row r="5" spans="1:16" x14ac:dyDescent="0.35">
      <c r="A5" s="2" t="s">
        <v>28</v>
      </c>
      <c r="B5" s="3">
        <v>45707</v>
      </c>
      <c r="C5" s="2" t="s">
        <v>12</v>
      </c>
      <c r="D5" s="2" t="s">
        <v>13</v>
      </c>
      <c r="E5" s="4">
        <v>60</v>
      </c>
      <c r="F5" s="4">
        <v>3</v>
      </c>
      <c r="G5" s="4">
        <v>180</v>
      </c>
      <c r="H5" s="2" t="s">
        <v>29</v>
      </c>
      <c r="I5" s="2" t="s">
        <v>30</v>
      </c>
      <c r="J5" s="2" t="s">
        <v>31</v>
      </c>
      <c r="K5" s="2" t="s">
        <v>23</v>
      </c>
      <c r="L5">
        <v>2</v>
      </c>
      <c r="M5">
        <v>2025</v>
      </c>
      <c r="N5" s="2" t="str">
        <v>2025-02</v>
      </c>
      <c r="O5" s="1" t="str">
        <f t="shared" si="0"/>
        <v>Pending</v>
      </c>
    </row>
    <row r="6" spans="1:16" x14ac:dyDescent="0.35">
      <c r="A6" s="2" t="s">
        <v>32</v>
      </c>
      <c r="B6" s="3">
        <v>45726</v>
      </c>
      <c r="C6" s="2" t="s">
        <v>33</v>
      </c>
      <c r="D6" s="2" t="s">
        <v>20</v>
      </c>
      <c r="E6" s="4">
        <v>150</v>
      </c>
      <c r="F6" s="4">
        <v>3</v>
      </c>
      <c r="G6" s="4">
        <v>450</v>
      </c>
      <c r="H6" s="2" t="s">
        <v>14</v>
      </c>
      <c r="I6" s="2" t="s">
        <v>15</v>
      </c>
      <c r="J6" s="2" t="s">
        <v>16</v>
      </c>
      <c r="K6" s="2" t="s">
        <v>23</v>
      </c>
      <c r="L6">
        <v>3</v>
      </c>
      <c r="M6">
        <v>2025</v>
      </c>
      <c r="N6" s="2" t="str">
        <v>2025-03</v>
      </c>
      <c r="O6" s="1" t="str">
        <f t="shared" si="0"/>
        <v>Pending</v>
      </c>
    </row>
    <row r="7" spans="1:16" x14ac:dyDescent="0.35">
      <c r="A7" s="2" t="s">
        <v>34</v>
      </c>
      <c r="B7" s="3">
        <v>45730</v>
      </c>
      <c r="C7" s="2" t="s">
        <v>35</v>
      </c>
      <c r="D7" s="2" t="s">
        <v>36</v>
      </c>
      <c r="E7" s="4">
        <v>20</v>
      </c>
      <c r="F7" s="4">
        <v>1</v>
      </c>
      <c r="G7" s="4">
        <v>20</v>
      </c>
      <c r="H7" s="2" t="s">
        <v>25</v>
      </c>
      <c r="I7" s="2" t="s">
        <v>30</v>
      </c>
      <c r="J7" s="2" t="s">
        <v>31</v>
      </c>
      <c r="K7" s="2" t="s">
        <v>23</v>
      </c>
      <c r="L7">
        <v>3</v>
      </c>
      <c r="M7">
        <v>2025</v>
      </c>
      <c r="N7" s="2" t="str">
        <v>2025-03</v>
      </c>
      <c r="O7" s="1" t="str">
        <f t="shared" si="0"/>
        <v>Pending</v>
      </c>
    </row>
    <row r="8" spans="1:16" x14ac:dyDescent="0.35">
      <c r="A8" s="2" t="s">
        <v>37</v>
      </c>
      <c r="B8" s="3">
        <v>45734</v>
      </c>
      <c r="C8" s="2" t="s">
        <v>33</v>
      </c>
      <c r="D8" s="2" t="s">
        <v>20</v>
      </c>
      <c r="E8" s="4">
        <v>150</v>
      </c>
      <c r="F8" s="4">
        <v>4</v>
      </c>
      <c r="G8" s="4">
        <v>600</v>
      </c>
      <c r="H8" s="2" t="s">
        <v>14</v>
      </c>
      <c r="I8" s="2" t="s">
        <v>38</v>
      </c>
      <c r="J8" s="2" t="s">
        <v>39</v>
      </c>
      <c r="K8" s="2" t="s">
        <v>40</v>
      </c>
      <c r="L8">
        <v>3</v>
      </c>
      <c r="M8">
        <v>2025</v>
      </c>
      <c r="N8" s="2" t="str">
        <v>2025-03</v>
      </c>
      <c r="O8" s="1" t="str">
        <f t="shared" si="0"/>
        <v>Completed</v>
      </c>
    </row>
    <row r="9" spans="1:16" x14ac:dyDescent="0.35">
      <c r="A9" s="2" t="s">
        <v>41</v>
      </c>
      <c r="B9" s="3">
        <v>45718</v>
      </c>
      <c r="C9" s="2" t="s">
        <v>42</v>
      </c>
      <c r="D9" s="2" t="s">
        <v>20</v>
      </c>
      <c r="E9" s="4">
        <v>500</v>
      </c>
      <c r="F9" s="4">
        <v>1</v>
      </c>
      <c r="G9" s="4">
        <v>500</v>
      </c>
      <c r="H9" s="2" t="s">
        <v>43</v>
      </c>
      <c r="I9" s="2" t="s">
        <v>44</v>
      </c>
      <c r="J9" s="2" t="s">
        <v>39</v>
      </c>
      <c r="K9" s="2" t="s">
        <v>40</v>
      </c>
      <c r="L9">
        <v>3</v>
      </c>
      <c r="M9">
        <v>2025</v>
      </c>
      <c r="N9" s="2" t="str">
        <v>2025-03</v>
      </c>
      <c r="O9" s="1" t="str">
        <f t="shared" si="0"/>
        <v>Completed</v>
      </c>
    </row>
    <row r="10" spans="1:16" x14ac:dyDescent="0.35">
      <c r="A10" s="2" t="s">
        <v>45</v>
      </c>
      <c r="B10" s="3">
        <v>45724</v>
      </c>
      <c r="C10" s="2" t="s">
        <v>35</v>
      </c>
      <c r="D10" s="2" t="s">
        <v>36</v>
      </c>
      <c r="E10" s="4">
        <v>20</v>
      </c>
      <c r="F10" s="4">
        <v>3</v>
      </c>
      <c r="G10" s="4">
        <v>60</v>
      </c>
      <c r="H10" s="2" t="s">
        <v>43</v>
      </c>
      <c r="I10" s="2" t="s">
        <v>46</v>
      </c>
      <c r="J10" s="2" t="s">
        <v>39</v>
      </c>
      <c r="K10" s="2" t="s">
        <v>40</v>
      </c>
      <c r="L10">
        <v>3</v>
      </c>
      <c r="M10">
        <v>2025</v>
      </c>
      <c r="N10" s="2" t="str">
        <v>2025-03</v>
      </c>
      <c r="O10" s="1" t="str">
        <f t="shared" si="0"/>
        <v>Completed</v>
      </c>
    </row>
    <row r="11" spans="1:16" x14ac:dyDescent="0.35">
      <c r="A11" s="2" t="s">
        <v>47</v>
      </c>
      <c r="B11" s="3">
        <v>45728</v>
      </c>
      <c r="C11" s="2" t="s">
        <v>42</v>
      </c>
      <c r="D11" s="2" t="s">
        <v>20</v>
      </c>
      <c r="E11" s="4">
        <v>500</v>
      </c>
      <c r="F11" s="4">
        <v>1</v>
      </c>
      <c r="G11" s="4">
        <v>500</v>
      </c>
      <c r="H11" s="2" t="s">
        <v>21</v>
      </c>
      <c r="I11" s="2" t="s">
        <v>22</v>
      </c>
      <c r="J11" s="2" t="s">
        <v>31</v>
      </c>
      <c r="K11" s="2" t="s">
        <v>17</v>
      </c>
      <c r="L11">
        <v>3</v>
      </c>
      <c r="M11">
        <v>2025</v>
      </c>
      <c r="N11" s="2" t="str">
        <v>2025-03</v>
      </c>
      <c r="O11" s="1" t="str">
        <f t="shared" si="0"/>
        <v>Cancelled</v>
      </c>
    </row>
    <row r="12" spans="1:16" x14ac:dyDescent="0.35">
      <c r="A12" s="2" t="s">
        <v>48</v>
      </c>
      <c r="B12" s="3">
        <v>45705</v>
      </c>
      <c r="C12" s="2" t="s">
        <v>49</v>
      </c>
      <c r="D12" s="2" t="s">
        <v>50</v>
      </c>
      <c r="E12" s="4">
        <v>15</v>
      </c>
      <c r="F12" s="4">
        <v>2</v>
      </c>
      <c r="G12" s="4">
        <v>30</v>
      </c>
      <c r="H12" s="2" t="s">
        <v>51</v>
      </c>
      <c r="I12" s="2" t="s">
        <v>46</v>
      </c>
      <c r="J12" s="2" t="s">
        <v>27</v>
      </c>
      <c r="K12" s="2" t="s">
        <v>23</v>
      </c>
      <c r="L12">
        <v>2</v>
      </c>
      <c r="M12">
        <v>2025</v>
      </c>
      <c r="N12" s="2" t="str">
        <v>2025-02</v>
      </c>
      <c r="O12" s="1" t="str">
        <f t="shared" si="0"/>
        <v>Pending</v>
      </c>
    </row>
    <row r="13" spans="1:16" x14ac:dyDescent="0.35">
      <c r="A13" s="2" t="s">
        <v>52</v>
      </c>
      <c r="B13" s="3">
        <v>45729</v>
      </c>
      <c r="C13" s="2" t="s">
        <v>53</v>
      </c>
      <c r="D13" s="2" t="s">
        <v>36</v>
      </c>
      <c r="E13" s="4">
        <v>40</v>
      </c>
      <c r="F13" s="4">
        <v>4</v>
      </c>
      <c r="G13" s="4">
        <v>160</v>
      </c>
      <c r="H13" s="2" t="s">
        <v>54</v>
      </c>
      <c r="I13" s="2" t="s">
        <v>30</v>
      </c>
      <c r="J13" s="2" t="s">
        <v>31</v>
      </c>
      <c r="K13" s="2" t="s">
        <v>40</v>
      </c>
      <c r="L13">
        <v>3</v>
      </c>
      <c r="M13">
        <v>2025</v>
      </c>
      <c r="N13" s="2" t="str">
        <v>2025-03</v>
      </c>
      <c r="O13" s="1" t="str">
        <f t="shared" si="0"/>
        <v>Completed</v>
      </c>
    </row>
    <row r="14" spans="1:16" x14ac:dyDescent="0.35">
      <c r="A14" s="2" t="s">
        <v>55</v>
      </c>
      <c r="B14" s="3">
        <v>45717</v>
      </c>
      <c r="C14" s="2" t="s">
        <v>56</v>
      </c>
      <c r="D14" s="2" t="s">
        <v>20</v>
      </c>
      <c r="E14" s="4">
        <v>800</v>
      </c>
      <c r="F14" s="4">
        <v>2</v>
      </c>
      <c r="G14" s="4">
        <v>1600</v>
      </c>
      <c r="H14" s="2" t="s">
        <v>57</v>
      </c>
      <c r="I14" s="2" t="s">
        <v>22</v>
      </c>
      <c r="J14" s="2" t="s">
        <v>58</v>
      </c>
      <c r="K14" s="2" t="s">
        <v>23</v>
      </c>
      <c r="L14">
        <v>3</v>
      </c>
      <c r="M14">
        <v>2025</v>
      </c>
      <c r="N14" s="2" t="str">
        <v>2025-03</v>
      </c>
      <c r="O14" s="1" t="str">
        <f t="shared" si="0"/>
        <v>Pending</v>
      </c>
    </row>
    <row r="15" spans="1:16" x14ac:dyDescent="0.35">
      <c r="A15" s="2" t="s">
        <v>59</v>
      </c>
      <c r="B15" s="3">
        <v>45720</v>
      </c>
      <c r="C15" s="2" t="s">
        <v>60</v>
      </c>
      <c r="D15" s="2" t="s">
        <v>61</v>
      </c>
      <c r="E15" s="4">
        <v>600</v>
      </c>
      <c r="F15" s="4">
        <v>3</v>
      </c>
      <c r="G15" s="4">
        <v>1800</v>
      </c>
      <c r="H15" s="2" t="s">
        <v>54</v>
      </c>
      <c r="I15" s="2" t="s">
        <v>44</v>
      </c>
      <c r="J15" s="2" t="s">
        <v>31</v>
      </c>
      <c r="K15" s="2" t="s">
        <v>17</v>
      </c>
      <c r="L15">
        <v>3</v>
      </c>
      <c r="M15">
        <v>2025</v>
      </c>
      <c r="N15" s="2" t="str">
        <v>2025-03</v>
      </c>
      <c r="O15" s="1" t="str">
        <f t="shared" si="0"/>
        <v>Cancelled</v>
      </c>
    </row>
    <row r="16" spans="1:16" x14ac:dyDescent="0.35">
      <c r="A16" s="2" t="s">
        <v>62</v>
      </c>
      <c r="B16" s="3">
        <v>45708</v>
      </c>
      <c r="C16" s="2" t="s">
        <v>33</v>
      </c>
      <c r="D16" s="2" t="s">
        <v>20</v>
      </c>
      <c r="E16" s="4">
        <v>150</v>
      </c>
      <c r="F16" s="4">
        <v>4</v>
      </c>
      <c r="G16" s="4">
        <v>600</v>
      </c>
      <c r="H16" s="2" t="s">
        <v>25</v>
      </c>
      <c r="I16" s="2" t="s">
        <v>63</v>
      </c>
      <c r="J16" s="2" t="s">
        <v>31</v>
      </c>
      <c r="K16" s="2" t="s">
        <v>40</v>
      </c>
      <c r="L16">
        <v>2</v>
      </c>
      <c r="M16">
        <v>2025</v>
      </c>
      <c r="N16" s="2" t="str">
        <v>2025-02</v>
      </c>
      <c r="O16" s="1" t="str">
        <f t="shared" si="0"/>
        <v>Completed</v>
      </c>
    </row>
    <row r="17" spans="1:15" x14ac:dyDescent="0.35">
      <c r="A17" s="2" t="s">
        <v>64</v>
      </c>
      <c r="B17" s="3">
        <v>45714</v>
      </c>
      <c r="C17" s="2" t="s">
        <v>65</v>
      </c>
      <c r="D17" s="2" t="s">
        <v>61</v>
      </c>
      <c r="E17" s="4">
        <v>1200</v>
      </c>
      <c r="F17" s="4">
        <v>1</v>
      </c>
      <c r="G17" s="4">
        <v>1200</v>
      </c>
      <c r="H17" s="2" t="s">
        <v>25</v>
      </c>
      <c r="I17" s="2" t="s">
        <v>46</v>
      </c>
      <c r="J17" s="2" t="s">
        <v>31</v>
      </c>
      <c r="K17" s="2" t="s">
        <v>17</v>
      </c>
      <c r="L17">
        <v>2</v>
      </c>
      <c r="M17">
        <v>2025</v>
      </c>
      <c r="N17" s="2" t="str">
        <v>2025-02</v>
      </c>
      <c r="O17" s="1" t="str">
        <f t="shared" si="0"/>
        <v>Cancelled</v>
      </c>
    </row>
    <row r="18" spans="1:15" x14ac:dyDescent="0.35">
      <c r="A18" s="2" t="s">
        <v>66</v>
      </c>
      <c r="B18" s="3">
        <v>45748</v>
      </c>
      <c r="C18" s="2" t="s">
        <v>35</v>
      </c>
      <c r="D18" s="2" t="s">
        <v>36</v>
      </c>
      <c r="E18" s="4">
        <v>20</v>
      </c>
      <c r="F18" s="4">
        <v>1</v>
      </c>
      <c r="G18" s="4">
        <v>20</v>
      </c>
      <c r="H18" s="2" t="s">
        <v>14</v>
      </c>
      <c r="I18" s="2" t="s">
        <v>15</v>
      </c>
      <c r="J18" s="2" t="s">
        <v>27</v>
      </c>
      <c r="K18" s="2" t="s">
        <v>40</v>
      </c>
      <c r="L18">
        <v>4</v>
      </c>
      <c r="M18">
        <v>2025</v>
      </c>
      <c r="N18" s="2" t="str">
        <v>2025-04</v>
      </c>
      <c r="O18" s="1" t="str">
        <f t="shared" si="0"/>
        <v>Completed</v>
      </c>
    </row>
    <row r="19" spans="1:15" x14ac:dyDescent="0.35">
      <c r="A19" s="2" t="s">
        <v>67</v>
      </c>
      <c r="B19" s="3">
        <v>45698</v>
      </c>
      <c r="C19" s="2" t="s">
        <v>42</v>
      </c>
      <c r="D19" s="2" t="s">
        <v>20</v>
      </c>
      <c r="E19" s="4">
        <v>500</v>
      </c>
      <c r="F19" s="4">
        <v>2</v>
      </c>
      <c r="G19" s="4">
        <v>1000</v>
      </c>
      <c r="H19" s="2" t="s">
        <v>54</v>
      </c>
      <c r="I19" s="2" t="s">
        <v>68</v>
      </c>
      <c r="J19" s="2" t="s">
        <v>27</v>
      </c>
      <c r="K19" s="2" t="s">
        <v>40</v>
      </c>
      <c r="L19">
        <v>2</v>
      </c>
      <c r="M19">
        <v>2025</v>
      </c>
      <c r="N19" s="2" t="str">
        <v>2025-02</v>
      </c>
      <c r="O19" s="1" t="str">
        <f t="shared" si="0"/>
        <v>Completed</v>
      </c>
    </row>
    <row r="20" spans="1:15" x14ac:dyDescent="0.35">
      <c r="A20" s="2" t="s">
        <v>69</v>
      </c>
      <c r="B20" s="3">
        <v>45738</v>
      </c>
      <c r="C20" s="2" t="s">
        <v>12</v>
      </c>
      <c r="D20" s="2" t="s">
        <v>13</v>
      </c>
      <c r="E20" s="4">
        <v>60</v>
      </c>
      <c r="F20" s="4">
        <v>3</v>
      </c>
      <c r="G20" s="4">
        <v>180</v>
      </c>
      <c r="H20" s="2" t="s">
        <v>29</v>
      </c>
      <c r="I20" s="2" t="s">
        <v>38</v>
      </c>
      <c r="J20" s="2" t="s">
        <v>31</v>
      </c>
      <c r="K20" s="2" t="s">
        <v>40</v>
      </c>
      <c r="L20">
        <v>3</v>
      </c>
      <c r="M20">
        <v>2025</v>
      </c>
      <c r="N20" s="2" t="str">
        <v>2025-03</v>
      </c>
      <c r="O20" s="1" t="str">
        <f t="shared" si="0"/>
        <v>Completed</v>
      </c>
    </row>
    <row r="21" spans="1:15" x14ac:dyDescent="0.35">
      <c r="A21" s="2" t="s">
        <v>70</v>
      </c>
      <c r="B21" s="3">
        <v>45723</v>
      </c>
      <c r="C21" s="2" t="s">
        <v>19</v>
      </c>
      <c r="D21" s="2" t="s">
        <v>20</v>
      </c>
      <c r="E21" s="4">
        <v>100</v>
      </c>
      <c r="F21" s="4">
        <v>4</v>
      </c>
      <c r="G21" s="4">
        <v>400</v>
      </c>
      <c r="H21" s="2" t="s">
        <v>29</v>
      </c>
      <c r="I21" s="2" t="s">
        <v>63</v>
      </c>
      <c r="J21" s="2" t="s">
        <v>16</v>
      </c>
      <c r="K21" s="2" t="s">
        <v>23</v>
      </c>
      <c r="L21">
        <v>3</v>
      </c>
      <c r="M21">
        <v>2025</v>
      </c>
      <c r="N21" s="2" t="str">
        <v>2025-03</v>
      </c>
      <c r="O21" s="1" t="str">
        <f t="shared" si="0"/>
        <v>Pending</v>
      </c>
    </row>
    <row r="22" spans="1:15" x14ac:dyDescent="0.35">
      <c r="A22" s="2" t="s">
        <v>71</v>
      </c>
      <c r="B22" s="3">
        <v>45693</v>
      </c>
      <c r="C22" s="2" t="s">
        <v>19</v>
      </c>
      <c r="D22" s="2" t="s">
        <v>20</v>
      </c>
      <c r="E22" s="4">
        <v>100</v>
      </c>
      <c r="F22" s="4">
        <v>3</v>
      </c>
      <c r="G22" s="4">
        <v>300</v>
      </c>
      <c r="H22" s="2" t="s">
        <v>72</v>
      </c>
      <c r="I22" s="2" t="s">
        <v>44</v>
      </c>
      <c r="J22" s="2" t="s">
        <v>16</v>
      </c>
      <c r="K22" s="2" t="s">
        <v>17</v>
      </c>
      <c r="L22">
        <v>2</v>
      </c>
      <c r="M22">
        <v>2025</v>
      </c>
      <c r="N22" s="2" t="str">
        <v>2025-02</v>
      </c>
      <c r="O22" s="1" t="str">
        <f t="shared" si="0"/>
        <v>Cancelled</v>
      </c>
    </row>
    <row r="23" spans="1:15" x14ac:dyDescent="0.35">
      <c r="A23" s="2" t="s">
        <v>73</v>
      </c>
      <c r="B23" s="3">
        <v>45723</v>
      </c>
      <c r="C23" s="2" t="s">
        <v>65</v>
      </c>
      <c r="D23" s="2" t="s">
        <v>61</v>
      </c>
      <c r="E23" s="4">
        <v>1200</v>
      </c>
      <c r="F23" s="4">
        <v>4</v>
      </c>
      <c r="G23" s="4">
        <v>4800</v>
      </c>
      <c r="H23" s="2" t="s">
        <v>29</v>
      </c>
      <c r="I23" s="2" t="s">
        <v>38</v>
      </c>
      <c r="J23" s="2" t="s">
        <v>31</v>
      </c>
      <c r="K23" s="2" t="s">
        <v>23</v>
      </c>
      <c r="L23">
        <v>3</v>
      </c>
      <c r="M23">
        <v>2025</v>
      </c>
      <c r="N23" s="2" t="str">
        <v>2025-03</v>
      </c>
      <c r="O23" s="1" t="str">
        <f t="shared" si="0"/>
        <v>Pending</v>
      </c>
    </row>
    <row r="24" spans="1:15" x14ac:dyDescent="0.35">
      <c r="A24" s="2" t="s">
        <v>74</v>
      </c>
      <c r="B24" s="3">
        <v>45711</v>
      </c>
      <c r="C24" s="2" t="s">
        <v>49</v>
      </c>
      <c r="D24" s="2" t="s">
        <v>50</v>
      </c>
      <c r="E24" s="4">
        <v>15</v>
      </c>
      <c r="F24" s="4">
        <v>1</v>
      </c>
      <c r="G24" s="4">
        <v>15</v>
      </c>
      <c r="H24" s="2" t="s">
        <v>14</v>
      </c>
      <c r="I24" s="2" t="s">
        <v>38</v>
      </c>
      <c r="J24" s="2" t="s">
        <v>31</v>
      </c>
      <c r="K24" s="2" t="s">
        <v>23</v>
      </c>
      <c r="L24">
        <v>2</v>
      </c>
      <c r="M24">
        <v>2025</v>
      </c>
      <c r="N24" s="2" t="str">
        <v>2025-02</v>
      </c>
      <c r="O24" s="1" t="str">
        <f t="shared" si="0"/>
        <v>Pending</v>
      </c>
    </row>
    <row r="25" spans="1:15" x14ac:dyDescent="0.35">
      <c r="A25" s="2" t="s">
        <v>75</v>
      </c>
      <c r="B25" s="3">
        <v>45740</v>
      </c>
      <c r="C25" s="2" t="s">
        <v>65</v>
      </c>
      <c r="D25" s="2" t="s">
        <v>61</v>
      </c>
      <c r="E25" s="4">
        <v>1200</v>
      </c>
      <c r="F25" s="4">
        <v>3</v>
      </c>
      <c r="G25" s="4">
        <v>3600</v>
      </c>
      <c r="H25" s="2" t="s">
        <v>72</v>
      </c>
      <c r="I25" s="2" t="s">
        <v>30</v>
      </c>
      <c r="J25" s="2" t="s">
        <v>31</v>
      </c>
      <c r="K25" s="2" t="s">
        <v>17</v>
      </c>
      <c r="L25">
        <v>3</v>
      </c>
      <c r="M25">
        <v>2025</v>
      </c>
      <c r="N25" s="2" t="str">
        <v>2025-03</v>
      </c>
      <c r="O25" s="1" t="str">
        <f t="shared" si="0"/>
        <v>Cancelled</v>
      </c>
    </row>
    <row r="26" spans="1:15" x14ac:dyDescent="0.35">
      <c r="A26" s="2" t="s">
        <v>76</v>
      </c>
      <c r="B26" s="3">
        <v>45718</v>
      </c>
      <c r="C26" s="2" t="s">
        <v>49</v>
      </c>
      <c r="D26" s="2" t="s">
        <v>50</v>
      </c>
      <c r="E26" s="4">
        <v>15</v>
      </c>
      <c r="F26" s="4">
        <v>5</v>
      </c>
      <c r="G26" s="4">
        <v>75</v>
      </c>
      <c r="H26" s="2" t="s">
        <v>43</v>
      </c>
      <c r="I26" s="2" t="s">
        <v>63</v>
      </c>
      <c r="J26" s="2" t="s">
        <v>27</v>
      </c>
      <c r="K26" s="2" t="s">
        <v>40</v>
      </c>
      <c r="L26">
        <v>3</v>
      </c>
      <c r="M26">
        <v>2025</v>
      </c>
      <c r="N26" s="2" t="str">
        <v>2025-03</v>
      </c>
      <c r="O26" s="1" t="str">
        <f t="shared" si="0"/>
        <v>Completed</v>
      </c>
    </row>
    <row r="27" spans="1:15" x14ac:dyDescent="0.35">
      <c r="A27" s="2" t="s">
        <v>77</v>
      </c>
      <c r="B27" s="3">
        <v>45702</v>
      </c>
      <c r="C27" s="2" t="s">
        <v>60</v>
      </c>
      <c r="D27" s="2" t="s">
        <v>61</v>
      </c>
      <c r="E27" s="4">
        <v>600</v>
      </c>
      <c r="F27" s="4">
        <v>1</v>
      </c>
      <c r="G27" s="4">
        <v>600</v>
      </c>
      <c r="H27" s="2" t="s">
        <v>29</v>
      </c>
      <c r="I27" s="2" t="s">
        <v>46</v>
      </c>
      <c r="J27" s="2" t="s">
        <v>16</v>
      </c>
      <c r="K27" s="2" t="s">
        <v>17</v>
      </c>
      <c r="L27">
        <v>2</v>
      </c>
      <c r="M27">
        <v>2025</v>
      </c>
      <c r="N27" s="2" t="str">
        <v>2025-02</v>
      </c>
      <c r="O27" s="1" t="str">
        <f t="shared" si="0"/>
        <v>Cancelled</v>
      </c>
    </row>
    <row r="28" spans="1:15" x14ac:dyDescent="0.35">
      <c r="A28" s="2" t="s">
        <v>78</v>
      </c>
      <c r="B28" s="3">
        <v>45695</v>
      </c>
      <c r="C28" s="2" t="s">
        <v>35</v>
      </c>
      <c r="D28" s="2" t="s">
        <v>36</v>
      </c>
      <c r="E28" s="4">
        <v>20</v>
      </c>
      <c r="F28" s="4">
        <v>1</v>
      </c>
      <c r="G28" s="4">
        <v>20</v>
      </c>
      <c r="H28" s="2" t="s">
        <v>57</v>
      </c>
      <c r="I28" s="2" t="s">
        <v>15</v>
      </c>
      <c r="J28" s="2" t="s">
        <v>27</v>
      </c>
      <c r="K28" s="2" t="s">
        <v>23</v>
      </c>
      <c r="L28">
        <v>2</v>
      </c>
      <c r="M28">
        <v>2025</v>
      </c>
      <c r="N28" s="2" t="str">
        <v>2025-02</v>
      </c>
      <c r="O28" s="1" t="str">
        <f t="shared" si="0"/>
        <v>Pending</v>
      </c>
    </row>
    <row r="29" spans="1:15" x14ac:dyDescent="0.35">
      <c r="A29" s="2" t="s">
        <v>79</v>
      </c>
      <c r="B29" s="3">
        <v>45691</v>
      </c>
      <c r="C29" s="2" t="s">
        <v>19</v>
      </c>
      <c r="D29" s="2" t="s">
        <v>20</v>
      </c>
      <c r="E29" s="4">
        <v>100</v>
      </c>
      <c r="F29" s="4">
        <v>1</v>
      </c>
      <c r="G29" s="4">
        <v>100</v>
      </c>
      <c r="H29" s="2" t="s">
        <v>80</v>
      </c>
      <c r="I29" s="2" t="s">
        <v>81</v>
      </c>
      <c r="J29" s="2" t="s">
        <v>27</v>
      </c>
      <c r="K29" s="2" t="s">
        <v>40</v>
      </c>
      <c r="L29">
        <v>2</v>
      </c>
      <c r="M29">
        <v>2025</v>
      </c>
      <c r="N29" s="2" t="str">
        <v>2025-02</v>
      </c>
      <c r="O29" s="1" t="str">
        <f t="shared" si="0"/>
        <v>Completed</v>
      </c>
    </row>
    <row r="30" spans="1:15" x14ac:dyDescent="0.35">
      <c r="A30" s="2" t="s">
        <v>82</v>
      </c>
      <c r="B30" s="3">
        <v>45700</v>
      </c>
      <c r="C30" s="2" t="s">
        <v>42</v>
      </c>
      <c r="D30" s="2" t="s">
        <v>20</v>
      </c>
      <c r="E30" s="4">
        <v>500</v>
      </c>
      <c r="F30" s="4">
        <v>1</v>
      </c>
      <c r="G30" s="4">
        <v>500</v>
      </c>
      <c r="H30" s="2" t="s">
        <v>43</v>
      </c>
      <c r="I30" s="2" t="s">
        <v>26</v>
      </c>
      <c r="J30" s="2" t="s">
        <v>31</v>
      </c>
      <c r="K30" s="2" t="s">
        <v>17</v>
      </c>
      <c r="L30">
        <v>2</v>
      </c>
      <c r="M30">
        <v>2025</v>
      </c>
      <c r="N30" s="2" t="str">
        <v>2025-02</v>
      </c>
      <c r="O30" s="1" t="str">
        <f t="shared" si="0"/>
        <v>Cancelled</v>
      </c>
    </row>
    <row r="31" spans="1:15" x14ac:dyDescent="0.35">
      <c r="A31" s="2" t="s">
        <v>83</v>
      </c>
      <c r="B31" s="3">
        <v>45698</v>
      </c>
      <c r="C31" s="2" t="s">
        <v>60</v>
      </c>
      <c r="D31" s="2" t="s">
        <v>61</v>
      </c>
      <c r="E31" s="4">
        <v>600</v>
      </c>
      <c r="F31" s="4">
        <v>3</v>
      </c>
      <c r="G31" s="4">
        <v>1800</v>
      </c>
      <c r="H31" s="2" t="s">
        <v>21</v>
      </c>
      <c r="I31" s="2" t="s">
        <v>30</v>
      </c>
      <c r="J31" s="2" t="s">
        <v>58</v>
      </c>
      <c r="K31" s="2" t="s">
        <v>17</v>
      </c>
      <c r="L31">
        <v>2</v>
      </c>
      <c r="M31">
        <v>2025</v>
      </c>
      <c r="N31" s="2" t="str">
        <v>2025-02</v>
      </c>
      <c r="O31" s="1" t="str">
        <f t="shared" si="0"/>
        <v>Cancelled</v>
      </c>
    </row>
    <row r="32" spans="1:15" x14ac:dyDescent="0.35">
      <c r="A32" s="2" t="s">
        <v>84</v>
      </c>
      <c r="B32" s="3">
        <v>45740</v>
      </c>
      <c r="C32" s="2" t="s">
        <v>42</v>
      </c>
      <c r="D32" s="2" t="s">
        <v>20</v>
      </c>
      <c r="E32" s="4">
        <v>500</v>
      </c>
      <c r="F32" s="4">
        <v>1</v>
      </c>
      <c r="G32" s="4">
        <v>500</v>
      </c>
      <c r="H32" s="2" t="s">
        <v>25</v>
      </c>
      <c r="I32" s="2" t="s">
        <v>38</v>
      </c>
      <c r="J32" s="2" t="s">
        <v>58</v>
      </c>
      <c r="K32" s="2" t="s">
        <v>23</v>
      </c>
      <c r="L32">
        <v>3</v>
      </c>
      <c r="M32">
        <v>2025</v>
      </c>
      <c r="N32" s="2" t="str">
        <v>2025-03</v>
      </c>
      <c r="O32" s="1" t="str">
        <f t="shared" si="0"/>
        <v>Pending</v>
      </c>
    </row>
    <row r="33" spans="1:15" x14ac:dyDescent="0.35">
      <c r="A33" s="2" t="s">
        <v>85</v>
      </c>
      <c r="B33" s="3">
        <v>45726</v>
      </c>
      <c r="C33" s="2" t="s">
        <v>42</v>
      </c>
      <c r="D33" s="2" t="s">
        <v>20</v>
      </c>
      <c r="E33" s="4">
        <v>500</v>
      </c>
      <c r="F33" s="4">
        <v>4</v>
      </c>
      <c r="G33" s="4">
        <v>2000</v>
      </c>
      <c r="H33" s="2" t="s">
        <v>54</v>
      </c>
      <c r="I33" s="2" t="s">
        <v>63</v>
      </c>
      <c r="J33" s="2" t="s">
        <v>39</v>
      </c>
      <c r="K33" s="2" t="s">
        <v>23</v>
      </c>
      <c r="L33">
        <v>3</v>
      </c>
      <c r="M33">
        <v>2025</v>
      </c>
      <c r="N33" s="2" t="str">
        <v>2025-03</v>
      </c>
      <c r="O33" s="1" t="str">
        <f t="shared" si="0"/>
        <v>Pending</v>
      </c>
    </row>
    <row r="34" spans="1:15" x14ac:dyDescent="0.35">
      <c r="A34" s="2" t="s">
        <v>86</v>
      </c>
      <c r="B34" s="3">
        <v>45692</v>
      </c>
      <c r="C34" s="2" t="s">
        <v>49</v>
      </c>
      <c r="D34" s="2" t="s">
        <v>50</v>
      </c>
      <c r="E34" s="4">
        <v>15</v>
      </c>
      <c r="F34" s="4">
        <v>1</v>
      </c>
      <c r="G34" s="4">
        <v>15</v>
      </c>
      <c r="H34" s="2" t="s">
        <v>29</v>
      </c>
      <c r="I34" s="2" t="s">
        <v>15</v>
      </c>
      <c r="J34" s="2" t="s">
        <v>16</v>
      </c>
      <c r="K34" s="2" t="s">
        <v>17</v>
      </c>
      <c r="L34">
        <v>2</v>
      </c>
      <c r="M34">
        <v>2025</v>
      </c>
      <c r="N34" s="2" t="str">
        <v>2025-02</v>
      </c>
      <c r="O34" s="1" t="str">
        <f t="shared" si="0"/>
        <v>Cancelled</v>
      </c>
    </row>
    <row r="35" spans="1:15" x14ac:dyDescent="0.35">
      <c r="A35" s="2" t="s">
        <v>87</v>
      </c>
      <c r="B35" s="3">
        <v>45749</v>
      </c>
      <c r="C35" s="2" t="s">
        <v>35</v>
      </c>
      <c r="D35" s="2" t="s">
        <v>36</v>
      </c>
      <c r="E35" s="4">
        <v>20</v>
      </c>
      <c r="F35" s="4">
        <v>5</v>
      </c>
      <c r="G35" s="4">
        <v>100</v>
      </c>
      <c r="H35" s="2" t="s">
        <v>80</v>
      </c>
      <c r="I35" s="2" t="s">
        <v>15</v>
      </c>
      <c r="J35" s="2" t="s">
        <v>31</v>
      </c>
      <c r="K35" s="2" t="s">
        <v>23</v>
      </c>
      <c r="L35">
        <v>4</v>
      </c>
      <c r="M35">
        <v>2025</v>
      </c>
      <c r="N35" s="2" t="str">
        <v>2025-04</v>
      </c>
      <c r="O35" s="1" t="str">
        <f t="shared" si="0"/>
        <v>Pending</v>
      </c>
    </row>
    <row r="36" spans="1:15" x14ac:dyDescent="0.35">
      <c r="A36" s="2" t="s">
        <v>88</v>
      </c>
      <c r="B36" s="3">
        <v>45749</v>
      </c>
      <c r="C36" s="2" t="s">
        <v>56</v>
      </c>
      <c r="D36" s="2" t="s">
        <v>20</v>
      </c>
      <c r="E36" s="4">
        <v>800</v>
      </c>
      <c r="F36" s="4">
        <v>3</v>
      </c>
      <c r="G36" s="4">
        <v>2400</v>
      </c>
      <c r="H36" s="2" t="s">
        <v>14</v>
      </c>
      <c r="I36" s="2" t="s">
        <v>26</v>
      </c>
      <c r="J36" s="2" t="s">
        <v>27</v>
      </c>
      <c r="K36" s="2" t="s">
        <v>40</v>
      </c>
      <c r="L36">
        <v>4</v>
      </c>
      <c r="M36">
        <v>2025</v>
      </c>
      <c r="N36" s="2" t="str">
        <v>2025-04</v>
      </c>
      <c r="O36" s="1" t="str">
        <f t="shared" si="0"/>
        <v>Completed</v>
      </c>
    </row>
    <row r="37" spans="1:15" x14ac:dyDescent="0.35">
      <c r="A37" s="2" t="s">
        <v>89</v>
      </c>
      <c r="B37" s="3">
        <v>45697</v>
      </c>
      <c r="C37" s="2" t="s">
        <v>65</v>
      </c>
      <c r="D37" s="2" t="s">
        <v>61</v>
      </c>
      <c r="E37" s="4">
        <v>1200</v>
      </c>
      <c r="F37" s="4">
        <v>2</v>
      </c>
      <c r="G37" s="4">
        <v>2400</v>
      </c>
      <c r="H37" s="2" t="s">
        <v>43</v>
      </c>
      <c r="I37" s="2" t="s">
        <v>46</v>
      </c>
      <c r="J37" s="2" t="s">
        <v>39</v>
      </c>
      <c r="K37" s="2" t="s">
        <v>17</v>
      </c>
      <c r="L37">
        <v>2</v>
      </c>
      <c r="M37">
        <v>2025</v>
      </c>
      <c r="N37" s="2" t="str">
        <v>2025-02</v>
      </c>
      <c r="O37" s="1" t="str">
        <f t="shared" si="0"/>
        <v>Cancelled</v>
      </c>
    </row>
    <row r="38" spans="1:15" x14ac:dyDescent="0.35">
      <c r="A38" s="2" t="s">
        <v>90</v>
      </c>
      <c r="B38" s="3">
        <v>45704</v>
      </c>
      <c r="C38" s="2" t="s">
        <v>19</v>
      </c>
      <c r="D38" s="2" t="s">
        <v>20</v>
      </c>
      <c r="E38" s="4">
        <v>100</v>
      </c>
      <c r="F38" s="4">
        <v>3</v>
      </c>
      <c r="G38" s="4">
        <v>300</v>
      </c>
      <c r="H38" s="2" t="s">
        <v>54</v>
      </c>
      <c r="I38" s="2" t="s">
        <v>15</v>
      </c>
      <c r="J38" s="2" t="s">
        <v>16</v>
      </c>
      <c r="K38" s="2" t="s">
        <v>17</v>
      </c>
      <c r="L38">
        <v>2</v>
      </c>
      <c r="M38">
        <v>2025</v>
      </c>
      <c r="N38" s="2" t="str">
        <v>2025-02</v>
      </c>
      <c r="O38" s="1" t="str">
        <f t="shared" si="0"/>
        <v>Cancelled</v>
      </c>
    </row>
    <row r="39" spans="1:15" x14ac:dyDescent="0.35">
      <c r="A39" s="2" t="s">
        <v>91</v>
      </c>
      <c r="B39" s="3">
        <v>45742</v>
      </c>
      <c r="C39" s="2" t="s">
        <v>56</v>
      </c>
      <c r="D39" s="2" t="s">
        <v>20</v>
      </c>
      <c r="E39" s="4">
        <v>800</v>
      </c>
      <c r="F39" s="4">
        <v>3</v>
      </c>
      <c r="G39" s="4">
        <v>2400</v>
      </c>
      <c r="H39" s="2" t="s">
        <v>29</v>
      </c>
      <c r="I39" s="2" t="s">
        <v>81</v>
      </c>
      <c r="J39" s="2" t="s">
        <v>27</v>
      </c>
      <c r="K39" s="2" t="s">
        <v>40</v>
      </c>
      <c r="L39">
        <v>3</v>
      </c>
      <c r="M39">
        <v>2025</v>
      </c>
      <c r="N39" s="2" t="str">
        <v>2025-03</v>
      </c>
      <c r="O39" s="1" t="str">
        <f t="shared" si="0"/>
        <v>Completed</v>
      </c>
    </row>
    <row r="40" spans="1:15" x14ac:dyDescent="0.35">
      <c r="A40" s="2" t="s">
        <v>92</v>
      </c>
      <c r="B40" s="3">
        <v>45718</v>
      </c>
      <c r="C40" s="2" t="s">
        <v>56</v>
      </c>
      <c r="D40" s="2" t="s">
        <v>20</v>
      </c>
      <c r="E40" s="4">
        <v>800</v>
      </c>
      <c r="F40" s="4">
        <v>2</v>
      </c>
      <c r="G40" s="4">
        <v>1600</v>
      </c>
      <c r="H40" s="2" t="s">
        <v>29</v>
      </c>
      <c r="I40" s="2" t="s">
        <v>22</v>
      </c>
      <c r="J40" s="2" t="s">
        <v>39</v>
      </c>
      <c r="K40" s="2" t="s">
        <v>40</v>
      </c>
      <c r="L40">
        <v>3</v>
      </c>
      <c r="M40">
        <v>2025</v>
      </c>
      <c r="N40" s="2" t="str">
        <v>2025-03</v>
      </c>
      <c r="O40" s="1" t="str">
        <f t="shared" si="0"/>
        <v>Completed</v>
      </c>
    </row>
    <row r="41" spans="1:15" x14ac:dyDescent="0.35">
      <c r="A41" s="2" t="s">
        <v>93</v>
      </c>
      <c r="B41" s="3">
        <v>45742</v>
      </c>
      <c r="C41" s="2" t="s">
        <v>33</v>
      </c>
      <c r="D41" s="2" t="s">
        <v>20</v>
      </c>
      <c r="E41" s="4">
        <v>150</v>
      </c>
      <c r="F41" s="4">
        <v>1</v>
      </c>
      <c r="G41" s="4">
        <v>150</v>
      </c>
      <c r="H41" s="2" t="s">
        <v>21</v>
      </c>
      <c r="I41" s="2" t="s">
        <v>63</v>
      </c>
      <c r="J41" s="2" t="s">
        <v>58</v>
      </c>
      <c r="K41" s="2" t="s">
        <v>23</v>
      </c>
      <c r="L41">
        <v>3</v>
      </c>
      <c r="M41">
        <v>2025</v>
      </c>
      <c r="N41" s="2" t="str">
        <v>2025-03</v>
      </c>
      <c r="O41" s="1" t="str">
        <f t="shared" si="0"/>
        <v>Pending</v>
      </c>
    </row>
    <row r="42" spans="1:15" x14ac:dyDescent="0.35">
      <c r="A42" s="2" t="s">
        <v>94</v>
      </c>
      <c r="B42" s="3">
        <v>45708</v>
      </c>
      <c r="C42" s="2" t="s">
        <v>49</v>
      </c>
      <c r="D42" s="2" t="s">
        <v>50</v>
      </c>
      <c r="E42" s="4">
        <v>15</v>
      </c>
      <c r="F42" s="4">
        <v>1</v>
      </c>
      <c r="G42" s="4">
        <v>15</v>
      </c>
      <c r="H42" s="2" t="s">
        <v>80</v>
      </c>
      <c r="I42" s="2" t="s">
        <v>44</v>
      </c>
      <c r="J42" s="2" t="s">
        <v>31</v>
      </c>
      <c r="K42" s="2" t="s">
        <v>17</v>
      </c>
      <c r="L42">
        <v>2</v>
      </c>
      <c r="M42">
        <v>2025</v>
      </c>
      <c r="N42" s="2" t="str">
        <v>2025-02</v>
      </c>
      <c r="O42" s="1" t="str">
        <f t="shared" si="0"/>
        <v>Cancelled</v>
      </c>
    </row>
    <row r="43" spans="1:15" x14ac:dyDescent="0.35">
      <c r="A43" s="2" t="s">
        <v>95</v>
      </c>
      <c r="B43" s="3">
        <v>45733</v>
      </c>
      <c r="C43" s="2" t="s">
        <v>19</v>
      </c>
      <c r="D43" s="2" t="s">
        <v>20</v>
      </c>
      <c r="E43" s="4">
        <v>100</v>
      </c>
      <c r="F43" s="4">
        <v>3</v>
      </c>
      <c r="G43" s="4">
        <v>300</v>
      </c>
      <c r="H43" s="2" t="s">
        <v>80</v>
      </c>
      <c r="I43" s="2" t="s">
        <v>81</v>
      </c>
      <c r="J43" s="2" t="s">
        <v>27</v>
      </c>
      <c r="K43" s="2" t="s">
        <v>17</v>
      </c>
      <c r="L43">
        <v>3</v>
      </c>
      <c r="M43">
        <v>2025</v>
      </c>
      <c r="N43" s="2" t="str">
        <v>2025-03</v>
      </c>
      <c r="O43" s="1" t="str">
        <f t="shared" si="0"/>
        <v>Cancelled</v>
      </c>
    </row>
    <row r="44" spans="1:15" x14ac:dyDescent="0.35">
      <c r="A44" s="2" t="s">
        <v>96</v>
      </c>
      <c r="B44" s="3">
        <v>45696</v>
      </c>
      <c r="C44" s="2" t="s">
        <v>35</v>
      </c>
      <c r="D44" s="2" t="s">
        <v>36</v>
      </c>
      <c r="E44" s="4">
        <v>20</v>
      </c>
      <c r="F44" s="4">
        <v>4</v>
      </c>
      <c r="G44" s="4">
        <v>80</v>
      </c>
      <c r="H44" s="2" t="s">
        <v>80</v>
      </c>
      <c r="I44" s="2" t="s">
        <v>26</v>
      </c>
      <c r="J44" s="2" t="s">
        <v>31</v>
      </c>
      <c r="K44" s="2" t="s">
        <v>23</v>
      </c>
      <c r="L44">
        <v>2</v>
      </c>
      <c r="M44">
        <v>2025</v>
      </c>
      <c r="N44" s="2" t="str">
        <v>2025-02</v>
      </c>
      <c r="O44" s="1" t="str">
        <f t="shared" si="0"/>
        <v>Pending</v>
      </c>
    </row>
    <row r="45" spans="1:15" x14ac:dyDescent="0.35">
      <c r="A45" s="2" t="s">
        <v>97</v>
      </c>
      <c r="B45" s="3">
        <v>45740</v>
      </c>
      <c r="C45" s="2" t="s">
        <v>33</v>
      </c>
      <c r="D45" s="2" t="s">
        <v>20</v>
      </c>
      <c r="E45" s="4">
        <v>150</v>
      </c>
      <c r="F45" s="4">
        <v>1</v>
      </c>
      <c r="G45" s="4">
        <v>150</v>
      </c>
      <c r="H45" s="2" t="s">
        <v>72</v>
      </c>
      <c r="I45" s="2" t="s">
        <v>38</v>
      </c>
      <c r="J45" s="2" t="s">
        <v>16</v>
      </c>
      <c r="K45" s="2" t="s">
        <v>23</v>
      </c>
      <c r="L45">
        <v>3</v>
      </c>
      <c r="M45">
        <v>2025</v>
      </c>
      <c r="N45" s="2" t="str">
        <v>2025-03</v>
      </c>
      <c r="O45" s="1" t="str">
        <f t="shared" si="0"/>
        <v>Pending</v>
      </c>
    </row>
    <row r="46" spans="1:15" x14ac:dyDescent="0.35">
      <c r="A46" s="2" t="s">
        <v>98</v>
      </c>
      <c r="B46" s="3">
        <v>45731</v>
      </c>
      <c r="C46" s="2" t="s">
        <v>65</v>
      </c>
      <c r="D46" s="2" t="s">
        <v>61</v>
      </c>
      <c r="E46" s="4">
        <v>1200</v>
      </c>
      <c r="F46" s="4">
        <v>3</v>
      </c>
      <c r="G46" s="4">
        <v>3600</v>
      </c>
      <c r="H46" s="2" t="s">
        <v>57</v>
      </c>
      <c r="I46" s="2" t="s">
        <v>15</v>
      </c>
      <c r="J46" s="2" t="s">
        <v>31</v>
      </c>
      <c r="K46" s="2" t="s">
        <v>23</v>
      </c>
      <c r="L46">
        <v>3</v>
      </c>
      <c r="M46">
        <v>2025</v>
      </c>
      <c r="N46" s="2" t="str">
        <v>2025-03</v>
      </c>
      <c r="O46" s="1" t="str">
        <f t="shared" si="0"/>
        <v>Pending</v>
      </c>
    </row>
    <row r="47" spans="1:15" x14ac:dyDescent="0.35">
      <c r="A47" s="2" t="s">
        <v>99</v>
      </c>
      <c r="B47" s="3">
        <v>45722</v>
      </c>
      <c r="C47" s="2" t="s">
        <v>12</v>
      </c>
      <c r="D47" s="2" t="s">
        <v>13</v>
      </c>
      <c r="E47" s="4">
        <v>60</v>
      </c>
      <c r="F47" s="4">
        <v>2</v>
      </c>
      <c r="G47" s="4">
        <v>120</v>
      </c>
      <c r="H47" s="2" t="s">
        <v>51</v>
      </c>
      <c r="I47" s="2" t="s">
        <v>38</v>
      </c>
      <c r="J47" s="2" t="s">
        <v>16</v>
      </c>
      <c r="K47" s="2" t="s">
        <v>17</v>
      </c>
      <c r="L47">
        <v>3</v>
      </c>
      <c r="M47">
        <v>2025</v>
      </c>
      <c r="N47" s="2" t="str">
        <v>2025-03</v>
      </c>
      <c r="O47" s="1" t="str">
        <f t="shared" si="0"/>
        <v>Cancelled</v>
      </c>
    </row>
    <row r="48" spans="1:15" x14ac:dyDescent="0.35">
      <c r="A48" s="2" t="s">
        <v>100</v>
      </c>
      <c r="B48" s="3">
        <v>45742</v>
      </c>
      <c r="C48" s="2" t="s">
        <v>35</v>
      </c>
      <c r="D48" s="2" t="s">
        <v>36</v>
      </c>
      <c r="E48" s="4">
        <v>20</v>
      </c>
      <c r="F48" s="4">
        <v>2</v>
      </c>
      <c r="G48" s="4">
        <v>40</v>
      </c>
      <c r="H48" s="2" t="s">
        <v>72</v>
      </c>
      <c r="I48" s="2" t="s">
        <v>44</v>
      </c>
      <c r="J48" s="2" t="s">
        <v>58</v>
      </c>
      <c r="K48" s="2" t="s">
        <v>17</v>
      </c>
      <c r="L48">
        <v>3</v>
      </c>
      <c r="M48">
        <v>2025</v>
      </c>
      <c r="N48" s="2" t="str">
        <v>2025-03</v>
      </c>
      <c r="O48" s="1" t="str">
        <f t="shared" si="0"/>
        <v>Cancelled</v>
      </c>
    </row>
    <row r="49" spans="1:15" x14ac:dyDescent="0.35">
      <c r="A49" s="2" t="s">
        <v>101</v>
      </c>
      <c r="B49" s="3">
        <v>45699</v>
      </c>
      <c r="C49" s="2" t="s">
        <v>35</v>
      </c>
      <c r="D49" s="2" t="s">
        <v>36</v>
      </c>
      <c r="E49" s="4">
        <v>20</v>
      </c>
      <c r="F49" s="4">
        <v>5</v>
      </c>
      <c r="G49" s="4">
        <v>100</v>
      </c>
      <c r="H49" s="2" t="s">
        <v>80</v>
      </c>
      <c r="I49" s="2" t="s">
        <v>26</v>
      </c>
      <c r="J49" s="2" t="s">
        <v>27</v>
      </c>
      <c r="K49" s="2" t="s">
        <v>40</v>
      </c>
      <c r="L49">
        <v>2</v>
      </c>
      <c r="M49">
        <v>2025</v>
      </c>
      <c r="N49" s="2" t="str">
        <v>2025-02</v>
      </c>
      <c r="O49" s="1" t="str">
        <f t="shared" si="0"/>
        <v>Completed</v>
      </c>
    </row>
    <row r="50" spans="1:15" x14ac:dyDescent="0.35">
      <c r="A50" s="2" t="s">
        <v>102</v>
      </c>
      <c r="B50" s="3">
        <v>45706</v>
      </c>
      <c r="C50" s="2" t="s">
        <v>42</v>
      </c>
      <c r="D50" s="2" t="s">
        <v>20</v>
      </c>
      <c r="E50" s="4">
        <v>500</v>
      </c>
      <c r="F50" s="4">
        <v>4</v>
      </c>
      <c r="G50" s="4">
        <v>2000</v>
      </c>
      <c r="H50" s="2" t="s">
        <v>14</v>
      </c>
      <c r="I50" s="2" t="s">
        <v>81</v>
      </c>
      <c r="J50" s="2" t="s">
        <v>16</v>
      </c>
      <c r="K50" s="2" t="s">
        <v>40</v>
      </c>
      <c r="L50">
        <v>2</v>
      </c>
      <c r="M50">
        <v>2025</v>
      </c>
      <c r="N50" s="2" t="str">
        <v>2025-02</v>
      </c>
      <c r="O50" s="1" t="str">
        <f t="shared" si="0"/>
        <v>Completed</v>
      </c>
    </row>
    <row r="51" spans="1:15" x14ac:dyDescent="0.35">
      <c r="A51" s="2" t="s">
        <v>103</v>
      </c>
      <c r="B51" s="3">
        <v>45730</v>
      </c>
      <c r="C51" s="2" t="s">
        <v>53</v>
      </c>
      <c r="D51" s="2" t="s">
        <v>36</v>
      </c>
      <c r="E51" s="4">
        <v>40</v>
      </c>
      <c r="F51" s="4">
        <v>3</v>
      </c>
      <c r="G51" s="4">
        <v>120</v>
      </c>
      <c r="H51" s="2" t="s">
        <v>25</v>
      </c>
      <c r="I51" s="2" t="s">
        <v>46</v>
      </c>
      <c r="J51" s="2" t="s">
        <v>58</v>
      </c>
      <c r="K51" s="2" t="s">
        <v>40</v>
      </c>
      <c r="L51">
        <v>3</v>
      </c>
      <c r="M51">
        <v>2025</v>
      </c>
      <c r="N51" s="2" t="str">
        <v>2025-03</v>
      </c>
      <c r="O51" s="1" t="str">
        <f t="shared" si="0"/>
        <v>Completed</v>
      </c>
    </row>
    <row r="52" spans="1:15" x14ac:dyDescent="0.35">
      <c r="A52" s="2" t="s">
        <v>104</v>
      </c>
      <c r="B52" s="3">
        <v>45707</v>
      </c>
      <c r="C52" s="2" t="s">
        <v>49</v>
      </c>
      <c r="D52" s="2" t="s">
        <v>50</v>
      </c>
      <c r="E52" s="4">
        <v>15</v>
      </c>
      <c r="F52" s="4">
        <v>1</v>
      </c>
      <c r="G52" s="4">
        <v>15</v>
      </c>
      <c r="H52" s="2" t="s">
        <v>14</v>
      </c>
      <c r="I52" s="2" t="s">
        <v>38</v>
      </c>
      <c r="J52" s="2" t="s">
        <v>58</v>
      </c>
      <c r="K52" s="2" t="s">
        <v>17</v>
      </c>
      <c r="L52">
        <v>2</v>
      </c>
      <c r="M52">
        <v>2025</v>
      </c>
      <c r="N52" s="2" t="str">
        <v>2025-02</v>
      </c>
      <c r="O52" s="1" t="str">
        <f t="shared" si="0"/>
        <v>Cancelled</v>
      </c>
    </row>
    <row r="53" spans="1:15" x14ac:dyDescent="0.35">
      <c r="A53" s="2" t="s">
        <v>105</v>
      </c>
      <c r="B53" s="3">
        <v>45712</v>
      </c>
      <c r="C53" s="2" t="s">
        <v>56</v>
      </c>
      <c r="D53" s="2" t="s">
        <v>20</v>
      </c>
      <c r="E53" s="4">
        <v>800</v>
      </c>
      <c r="F53" s="4">
        <v>3</v>
      </c>
      <c r="G53" s="4">
        <v>2400</v>
      </c>
      <c r="H53" s="2" t="s">
        <v>25</v>
      </c>
      <c r="I53" s="2" t="s">
        <v>22</v>
      </c>
      <c r="J53" s="2" t="s">
        <v>31</v>
      </c>
      <c r="K53" s="2" t="s">
        <v>23</v>
      </c>
      <c r="L53">
        <v>2</v>
      </c>
      <c r="M53">
        <v>2025</v>
      </c>
      <c r="N53" s="2" t="str">
        <v>2025-02</v>
      </c>
      <c r="O53" s="1" t="str">
        <f t="shared" si="0"/>
        <v>Pending</v>
      </c>
    </row>
    <row r="54" spans="1:15" x14ac:dyDescent="0.35">
      <c r="A54" s="2" t="s">
        <v>106</v>
      </c>
      <c r="B54" s="3">
        <v>45740</v>
      </c>
      <c r="C54" s="2" t="s">
        <v>12</v>
      </c>
      <c r="D54" s="2" t="s">
        <v>13</v>
      </c>
      <c r="E54" s="4">
        <v>60</v>
      </c>
      <c r="F54" s="4">
        <v>4</v>
      </c>
      <c r="G54" s="4">
        <v>240</v>
      </c>
      <c r="H54" s="2" t="s">
        <v>21</v>
      </c>
      <c r="I54" s="2" t="s">
        <v>68</v>
      </c>
      <c r="J54" s="2" t="s">
        <v>39</v>
      </c>
      <c r="K54" s="2" t="s">
        <v>40</v>
      </c>
      <c r="L54">
        <v>3</v>
      </c>
      <c r="M54">
        <v>2025</v>
      </c>
      <c r="N54" s="2" t="str">
        <v>2025-03</v>
      </c>
      <c r="O54" s="1" t="str">
        <f t="shared" si="0"/>
        <v>Completed</v>
      </c>
    </row>
    <row r="55" spans="1:15" x14ac:dyDescent="0.35">
      <c r="A55" s="2" t="s">
        <v>107</v>
      </c>
      <c r="B55" s="3">
        <v>45731</v>
      </c>
      <c r="C55" s="2" t="s">
        <v>33</v>
      </c>
      <c r="D55" s="2" t="s">
        <v>20</v>
      </c>
      <c r="E55" s="4">
        <v>150</v>
      </c>
      <c r="F55" s="4">
        <v>3</v>
      </c>
      <c r="G55" s="4">
        <v>450</v>
      </c>
      <c r="H55" s="2" t="s">
        <v>51</v>
      </c>
      <c r="I55" s="2" t="s">
        <v>46</v>
      </c>
      <c r="J55" s="2" t="s">
        <v>58</v>
      </c>
      <c r="K55" s="2" t="s">
        <v>23</v>
      </c>
      <c r="L55">
        <v>3</v>
      </c>
      <c r="M55">
        <v>2025</v>
      </c>
      <c r="N55" s="2" t="str">
        <v>2025-03</v>
      </c>
      <c r="O55" s="1" t="str">
        <f t="shared" si="0"/>
        <v>Pending</v>
      </c>
    </row>
    <row r="56" spans="1:15" x14ac:dyDescent="0.35">
      <c r="A56" s="2" t="s">
        <v>108</v>
      </c>
      <c r="B56" s="3">
        <v>45731</v>
      </c>
      <c r="C56" s="2" t="s">
        <v>53</v>
      </c>
      <c r="D56" s="2" t="s">
        <v>36</v>
      </c>
      <c r="E56" s="4">
        <v>40</v>
      </c>
      <c r="F56" s="4">
        <v>2</v>
      </c>
      <c r="G56" s="4">
        <v>80</v>
      </c>
      <c r="H56" s="2" t="s">
        <v>43</v>
      </c>
      <c r="I56" s="2" t="s">
        <v>30</v>
      </c>
      <c r="J56" s="2" t="s">
        <v>39</v>
      </c>
      <c r="K56" s="2" t="s">
        <v>40</v>
      </c>
      <c r="L56">
        <v>3</v>
      </c>
      <c r="M56">
        <v>2025</v>
      </c>
      <c r="N56" s="2" t="str">
        <v>2025-03</v>
      </c>
      <c r="O56" s="1" t="str">
        <f t="shared" si="0"/>
        <v>Completed</v>
      </c>
    </row>
    <row r="57" spans="1:15" x14ac:dyDescent="0.35">
      <c r="A57" s="2" t="s">
        <v>109</v>
      </c>
      <c r="B57" s="3">
        <v>45735</v>
      </c>
      <c r="C57" s="2" t="s">
        <v>33</v>
      </c>
      <c r="D57" s="2" t="s">
        <v>20</v>
      </c>
      <c r="E57" s="4">
        <v>150</v>
      </c>
      <c r="F57" s="4">
        <v>2</v>
      </c>
      <c r="G57" s="4">
        <v>300</v>
      </c>
      <c r="H57" s="2" t="s">
        <v>14</v>
      </c>
      <c r="I57" s="2" t="s">
        <v>30</v>
      </c>
      <c r="J57" s="2" t="s">
        <v>31</v>
      </c>
      <c r="K57" s="2" t="s">
        <v>40</v>
      </c>
      <c r="L57">
        <v>3</v>
      </c>
      <c r="M57">
        <v>2025</v>
      </c>
      <c r="N57" s="2" t="str">
        <v>2025-03</v>
      </c>
      <c r="O57" s="1" t="str">
        <f t="shared" si="0"/>
        <v>Completed</v>
      </c>
    </row>
    <row r="58" spans="1:15" x14ac:dyDescent="0.35">
      <c r="A58" s="2" t="s">
        <v>110</v>
      </c>
      <c r="B58" s="3">
        <v>45731</v>
      </c>
      <c r="C58" s="2" t="s">
        <v>42</v>
      </c>
      <c r="D58" s="2" t="s">
        <v>20</v>
      </c>
      <c r="E58" s="4">
        <v>500</v>
      </c>
      <c r="F58" s="4">
        <v>1</v>
      </c>
      <c r="G58" s="4">
        <v>500</v>
      </c>
      <c r="H58" s="2" t="s">
        <v>80</v>
      </c>
      <c r="I58" s="2" t="s">
        <v>68</v>
      </c>
      <c r="J58" s="2" t="s">
        <v>16</v>
      </c>
      <c r="K58" s="2" t="s">
        <v>17</v>
      </c>
      <c r="L58">
        <v>3</v>
      </c>
      <c r="M58">
        <v>2025</v>
      </c>
      <c r="N58" s="2" t="str">
        <v>2025-03</v>
      </c>
      <c r="O58" s="1" t="str">
        <f t="shared" si="0"/>
        <v>Cancelled</v>
      </c>
    </row>
    <row r="59" spans="1:15" x14ac:dyDescent="0.35">
      <c r="A59" s="2" t="s">
        <v>111</v>
      </c>
      <c r="B59" s="3">
        <v>45729</v>
      </c>
      <c r="C59" s="2" t="s">
        <v>42</v>
      </c>
      <c r="D59" s="2" t="s">
        <v>20</v>
      </c>
      <c r="E59" s="4">
        <v>500</v>
      </c>
      <c r="F59" s="4">
        <v>1</v>
      </c>
      <c r="G59" s="4">
        <v>500</v>
      </c>
      <c r="H59" s="2" t="s">
        <v>80</v>
      </c>
      <c r="I59" s="2" t="s">
        <v>81</v>
      </c>
      <c r="J59" s="2" t="s">
        <v>39</v>
      </c>
      <c r="K59" s="2" t="s">
        <v>17</v>
      </c>
      <c r="L59">
        <v>3</v>
      </c>
      <c r="M59">
        <v>2025</v>
      </c>
      <c r="N59" s="2" t="str">
        <v>2025-03</v>
      </c>
      <c r="O59" s="1" t="str">
        <f t="shared" si="0"/>
        <v>Cancelled</v>
      </c>
    </row>
    <row r="60" spans="1:15" x14ac:dyDescent="0.35">
      <c r="A60" s="2" t="s">
        <v>112</v>
      </c>
      <c r="B60" s="3">
        <v>45748</v>
      </c>
      <c r="C60" s="2" t="s">
        <v>33</v>
      </c>
      <c r="D60" s="2" t="s">
        <v>20</v>
      </c>
      <c r="E60" s="4">
        <v>150</v>
      </c>
      <c r="F60" s="4">
        <v>2</v>
      </c>
      <c r="G60" s="4">
        <v>300</v>
      </c>
      <c r="H60" s="2" t="s">
        <v>57</v>
      </c>
      <c r="I60" s="2" t="s">
        <v>30</v>
      </c>
      <c r="J60" s="2" t="s">
        <v>31</v>
      </c>
      <c r="K60" s="2" t="s">
        <v>17</v>
      </c>
      <c r="L60">
        <v>4</v>
      </c>
      <c r="M60">
        <v>2025</v>
      </c>
      <c r="N60" s="2" t="str">
        <v>2025-04</v>
      </c>
      <c r="O60" s="1" t="str">
        <f t="shared" si="0"/>
        <v>Cancelled</v>
      </c>
    </row>
    <row r="61" spans="1:15" x14ac:dyDescent="0.35">
      <c r="A61" s="2" t="s">
        <v>113</v>
      </c>
      <c r="B61" s="3">
        <v>45728</v>
      </c>
      <c r="C61" s="2" t="s">
        <v>49</v>
      </c>
      <c r="D61" s="2" t="s">
        <v>50</v>
      </c>
      <c r="E61" s="4">
        <v>15</v>
      </c>
      <c r="F61" s="4">
        <v>5</v>
      </c>
      <c r="G61" s="4">
        <v>75</v>
      </c>
      <c r="H61" s="2" t="s">
        <v>80</v>
      </c>
      <c r="I61" s="2" t="s">
        <v>30</v>
      </c>
      <c r="J61" s="2" t="s">
        <v>31</v>
      </c>
      <c r="K61" s="2" t="s">
        <v>23</v>
      </c>
      <c r="L61">
        <v>3</v>
      </c>
      <c r="M61">
        <v>2025</v>
      </c>
      <c r="N61" s="2" t="str">
        <v>2025-03</v>
      </c>
      <c r="O61" s="1" t="str">
        <f t="shared" si="0"/>
        <v>Pending</v>
      </c>
    </row>
    <row r="62" spans="1:15" x14ac:dyDescent="0.35">
      <c r="A62" s="2" t="s">
        <v>114</v>
      </c>
      <c r="B62" s="3">
        <v>45727</v>
      </c>
      <c r="C62" s="2" t="s">
        <v>65</v>
      </c>
      <c r="D62" s="2" t="s">
        <v>61</v>
      </c>
      <c r="E62" s="4">
        <v>1200</v>
      </c>
      <c r="F62" s="4">
        <v>1</v>
      </c>
      <c r="G62" s="4">
        <v>1200</v>
      </c>
      <c r="H62" s="2" t="s">
        <v>80</v>
      </c>
      <c r="I62" s="2" t="s">
        <v>15</v>
      </c>
      <c r="J62" s="2" t="s">
        <v>39</v>
      </c>
      <c r="K62" s="2" t="s">
        <v>17</v>
      </c>
      <c r="L62">
        <v>3</v>
      </c>
      <c r="M62">
        <v>2025</v>
      </c>
      <c r="N62" s="2" t="str">
        <v>2025-03</v>
      </c>
      <c r="O62" s="1" t="str">
        <f t="shared" si="0"/>
        <v>Cancelled</v>
      </c>
    </row>
    <row r="63" spans="1:15" x14ac:dyDescent="0.35">
      <c r="A63" s="2" t="s">
        <v>115</v>
      </c>
      <c r="B63" s="3">
        <v>45698</v>
      </c>
      <c r="C63" s="2" t="s">
        <v>56</v>
      </c>
      <c r="D63" s="2" t="s">
        <v>20</v>
      </c>
      <c r="E63" s="4">
        <v>800</v>
      </c>
      <c r="F63" s="4">
        <v>5</v>
      </c>
      <c r="G63" s="4">
        <v>4000</v>
      </c>
      <c r="H63" s="2" t="s">
        <v>29</v>
      </c>
      <c r="I63" s="2" t="s">
        <v>22</v>
      </c>
      <c r="J63" s="2" t="s">
        <v>39</v>
      </c>
      <c r="K63" s="2" t="s">
        <v>40</v>
      </c>
      <c r="L63">
        <v>2</v>
      </c>
      <c r="M63">
        <v>2025</v>
      </c>
      <c r="N63" s="2" t="str">
        <v>2025-02</v>
      </c>
      <c r="O63" s="1" t="str">
        <f t="shared" si="0"/>
        <v>Completed</v>
      </c>
    </row>
    <row r="64" spans="1:15" x14ac:dyDescent="0.35">
      <c r="A64" s="2" t="s">
        <v>116</v>
      </c>
      <c r="B64" s="3">
        <v>45746</v>
      </c>
      <c r="C64" s="2" t="s">
        <v>42</v>
      </c>
      <c r="D64" s="2" t="s">
        <v>20</v>
      </c>
      <c r="E64" s="4">
        <v>500</v>
      </c>
      <c r="F64" s="4">
        <v>5</v>
      </c>
      <c r="G64" s="4">
        <v>2500</v>
      </c>
      <c r="H64" s="2" t="s">
        <v>14</v>
      </c>
      <c r="I64" s="2" t="s">
        <v>44</v>
      </c>
      <c r="J64" s="2" t="s">
        <v>58</v>
      </c>
      <c r="K64" s="2" t="s">
        <v>40</v>
      </c>
      <c r="L64">
        <v>3</v>
      </c>
      <c r="M64">
        <v>2025</v>
      </c>
      <c r="N64" s="2" t="str">
        <v>2025-03</v>
      </c>
      <c r="O64" s="1" t="str">
        <f t="shared" si="0"/>
        <v>Completed</v>
      </c>
    </row>
    <row r="65" spans="1:15" x14ac:dyDescent="0.35">
      <c r="A65" s="2" t="s">
        <v>117</v>
      </c>
      <c r="B65" s="3">
        <v>45701</v>
      </c>
      <c r="C65" s="2" t="s">
        <v>65</v>
      </c>
      <c r="D65" s="2" t="s">
        <v>61</v>
      </c>
      <c r="E65" s="4">
        <v>1200</v>
      </c>
      <c r="F65" s="4">
        <v>4</v>
      </c>
      <c r="G65" s="4">
        <v>4800</v>
      </c>
      <c r="H65" s="2" t="s">
        <v>21</v>
      </c>
      <c r="I65" s="2" t="s">
        <v>26</v>
      </c>
      <c r="J65" s="2" t="s">
        <v>39</v>
      </c>
      <c r="K65" s="2" t="s">
        <v>23</v>
      </c>
      <c r="L65">
        <v>2</v>
      </c>
      <c r="M65">
        <v>2025</v>
      </c>
      <c r="N65" s="2" t="str">
        <v>2025-02</v>
      </c>
      <c r="O65" s="1" t="str">
        <f t="shared" si="0"/>
        <v>Pending</v>
      </c>
    </row>
    <row r="66" spans="1:15" x14ac:dyDescent="0.35">
      <c r="A66" s="2" t="s">
        <v>118</v>
      </c>
      <c r="B66" s="3">
        <v>45732</v>
      </c>
      <c r="C66" s="2" t="s">
        <v>49</v>
      </c>
      <c r="D66" s="2" t="s">
        <v>50</v>
      </c>
      <c r="E66" s="4">
        <v>15</v>
      </c>
      <c r="F66" s="4">
        <v>3</v>
      </c>
      <c r="G66" s="4">
        <v>45</v>
      </c>
      <c r="H66" s="2" t="s">
        <v>14</v>
      </c>
      <c r="I66" s="2" t="s">
        <v>22</v>
      </c>
      <c r="J66" s="2" t="s">
        <v>27</v>
      </c>
      <c r="K66" s="2" t="s">
        <v>23</v>
      </c>
      <c r="L66">
        <v>3</v>
      </c>
      <c r="M66">
        <v>2025</v>
      </c>
      <c r="N66" s="2" t="str">
        <v>2025-03</v>
      </c>
      <c r="O66" s="1" t="str">
        <f t="shared" si="0"/>
        <v>Pending</v>
      </c>
    </row>
    <row r="67" spans="1:15" x14ac:dyDescent="0.35">
      <c r="A67" s="2" t="s">
        <v>119</v>
      </c>
      <c r="B67" s="3">
        <v>45730</v>
      </c>
      <c r="C67" s="2" t="s">
        <v>33</v>
      </c>
      <c r="D67" s="2" t="s">
        <v>20</v>
      </c>
      <c r="E67" s="4">
        <v>150</v>
      </c>
      <c r="F67" s="4">
        <v>2</v>
      </c>
      <c r="G67" s="4">
        <v>300</v>
      </c>
      <c r="H67" s="2" t="s">
        <v>54</v>
      </c>
      <c r="I67" s="2" t="s">
        <v>26</v>
      </c>
      <c r="J67" s="2" t="s">
        <v>39</v>
      </c>
      <c r="K67" s="2" t="s">
        <v>23</v>
      </c>
      <c r="L67">
        <v>3</v>
      </c>
      <c r="M67">
        <v>2025</v>
      </c>
      <c r="N67" s="2" t="str">
        <v>2025-03</v>
      </c>
      <c r="O67" s="1" t="str">
        <f t="shared" ref="O67:O130" si="1">IF(K67="Cancelled","Cancelled",IF(K67="Completed","Completed","Pending"))</f>
        <v>Pending</v>
      </c>
    </row>
    <row r="68" spans="1:15" x14ac:dyDescent="0.35">
      <c r="A68" s="2" t="s">
        <v>120</v>
      </c>
      <c r="B68" s="3">
        <v>45747</v>
      </c>
      <c r="C68" s="2" t="s">
        <v>19</v>
      </c>
      <c r="D68" s="2" t="s">
        <v>20</v>
      </c>
      <c r="E68" s="4">
        <v>100</v>
      </c>
      <c r="F68" s="4">
        <v>3</v>
      </c>
      <c r="G68" s="4">
        <v>300</v>
      </c>
      <c r="H68" s="2" t="s">
        <v>72</v>
      </c>
      <c r="I68" s="2" t="s">
        <v>15</v>
      </c>
      <c r="J68" s="2" t="s">
        <v>16</v>
      </c>
      <c r="K68" s="2" t="s">
        <v>23</v>
      </c>
      <c r="L68">
        <v>3</v>
      </c>
      <c r="M68">
        <v>2025</v>
      </c>
      <c r="N68" s="2" t="str">
        <v>2025-03</v>
      </c>
      <c r="O68" s="1" t="str">
        <f t="shared" si="1"/>
        <v>Pending</v>
      </c>
    </row>
    <row r="69" spans="1:15" x14ac:dyDescent="0.35">
      <c r="A69" s="2" t="s">
        <v>121</v>
      </c>
      <c r="B69" s="3">
        <v>45711</v>
      </c>
      <c r="C69" s="2" t="s">
        <v>19</v>
      </c>
      <c r="D69" s="2" t="s">
        <v>20</v>
      </c>
      <c r="E69" s="4">
        <v>100</v>
      </c>
      <c r="F69" s="4">
        <v>1</v>
      </c>
      <c r="G69" s="4">
        <v>100</v>
      </c>
      <c r="H69" s="2" t="s">
        <v>51</v>
      </c>
      <c r="I69" s="2" t="s">
        <v>38</v>
      </c>
      <c r="J69" s="2" t="s">
        <v>16</v>
      </c>
      <c r="K69" s="2" t="s">
        <v>17</v>
      </c>
      <c r="L69">
        <v>2</v>
      </c>
      <c r="M69">
        <v>2025</v>
      </c>
      <c r="N69" s="2" t="str">
        <v>2025-02</v>
      </c>
      <c r="O69" s="1" t="str">
        <f t="shared" si="1"/>
        <v>Cancelled</v>
      </c>
    </row>
    <row r="70" spans="1:15" x14ac:dyDescent="0.35">
      <c r="A70" s="2" t="s">
        <v>122</v>
      </c>
      <c r="B70" s="3">
        <v>45713</v>
      </c>
      <c r="C70" s="2" t="s">
        <v>65</v>
      </c>
      <c r="D70" s="2" t="s">
        <v>61</v>
      </c>
      <c r="E70" s="4">
        <v>1200</v>
      </c>
      <c r="F70" s="4">
        <v>4</v>
      </c>
      <c r="G70" s="4">
        <v>4800</v>
      </c>
      <c r="H70" s="2" t="s">
        <v>51</v>
      </c>
      <c r="I70" s="2" t="s">
        <v>46</v>
      </c>
      <c r="J70" s="2" t="s">
        <v>58</v>
      </c>
      <c r="K70" s="2" t="s">
        <v>23</v>
      </c>
      <c r="L70">
        <v>2</v>
      </c>
      <c r="M70">
        <v>2025</v>
      </c>
      <c r="N70" s="2" t="str">
        <v>2025-02</v>
      </c>
      <c r="O70" s="1" t="str">
        <f t="shared" si="1"/>
        <v>Pending</v>
      </c>
    </row>
    <row r="71" spans="1:15" x14ac:dyDescent="0.35">
      <c r="A71" s="2" t="s">
        <v>123</v>
      </c>
      <c r="B71" s="3">
        <v>45726</v>
      </c>
      <c r="C71" s="2" t="s">
        <v>49</v>
      </c>
      <c r="D71" s="2" t="s">
        <v>50</v>
      </c>
      <c r="E71" s="4">
        <v>15</v>
      </c>
      <c r="F71" s="4">
        <v>1</v>
      </c>
      <c r="G71" s="4">
        <v>15</v>
      </c>
      <c r="H71" s="2" t="s">
        <v>21</v>
      </c>
      <c r="I71" s="2" t="s">
        <v>46</v>
      </c>
      <c r="J71" s="2" t="s">
        <v>31</v>
      </c>
      <c r="K71" s="2" t="s">
        <v>40</v>
      </c>
      <c r="L71">
        <v>3</v>
      </c>
      <c r="M71">
        <v>2025</v>
      </c>
      <c r="N71" s="2" t="str">
        <v>2025-03</v>
      </c>
      <c r="O71" s="1" t="str">
        <f t="shared" si="1"/>
        <v>Completed</v>
      </c>
    </row>
    <row r="72" spans="1:15" x14ac:dyDescent="0.35">
      <c r="A72" s="2" t="s">
        <v>124</v>
      </c>
      <c r="B72" s="3">
        <v>45732</v>
      </c>
      <c r="C72" s="2" t="s">
        <v>33</v>
      </c>
      <c r="D72" s="2" t="s">
        <v>20</v>
      </c>
      <c r="E72" s="4">
        <v>150</v>
      </c>
      <c r="F72" s="4">
        <v>5</v>
      </c>
      <c r="G72" s="4">
        <v>750</v>
      </c>
      <c r="H72" s="2" t="s">
        <v>25</v>
      </c>
      <c r="I72" s="2" t="s">
        <v>26</v>
      </c>
      <c r="J72" s="2" t="s">
        <v>31</v>
      </c>
      <c r="K72" s="2" t="s">
        <v>23</v>
      </c>
      <c r="L72">
        <v>3</v>
      </c>
      <c r="M72">
        <v>2025</v>
      </c>
      <c r="N72" s="2" t="str">
        <v>2025-03</v>
      </c>
      <c r="O72" s="1" t="str">
        <f t="shared" si="1"/>
        <v>Pending</v>
      </c>
    </row>
    <row r="73" spans="1:15" x14ac:dyDescent="0.35">
      <c r="A73" s="2" t="s">
        <v>125</v>
      </c>
      <c r="B73" s="3">
        <v>45723</v>
      </c>
      <c r="C73" s="2" t="s">
        <v>56</v>
      </c>
      <c r="D73" s="2" t="s">
        <v>20</v>
      </c>
      <c r="E73" s="4">
        <v>800</v>
      </c>
      <c r="F73" s="4">
        <v>3</v>
      </c>
      <c r="G73" s="4">
        <v>2400</v>
      </c>
      <c r="H73" s="2" t="s">
        <v>57</v>
      </c>
      <c r="I73" s="2" t="s">
        <v>38</v>
      </c>
      <c r="J73" s="2" t="s">
        <v>31</v>
      </c>
      <c r="K73" s="2" t="s">
        <v>23</v>
      </c>
      <c r="L73">
        <v>3</v>
      </c>
      <c r="M73">
        <v>2025</v>
      </c>
      <c r="N73" s="2" t="str">
        <v>2025-03</v>
      </c>
      <c r="O73" s="1" t="str">
        <f t="shared" si="1"/>
        <v>Pending</v>
      </c>
    </row>
    <row r="74" spans="1:15" x14ac:dyDescent="0.35">
      <c r="A74" s="2" t="s">
        <v>126</v>
      </c>
      <c r="B74" s="3">
        <v>45708</v>
      </c>
      <c r="C74" s="2" t="s">
        <v>42</v>
      </c>
      <c r="D74" s="2" t="s">
        <v>20</v>
      </c>
      <c r="E74" s="4">
        <v>500</v>
      </c>
      <c r="F74" s="4">
        <v>5</v>
      </c>
      <c r="G74" s="4">
        <v>2500</v>
      </c>
      <c r="H74" s="2" t="s">
        <v>21</v>
      </c>
      <c r="I74" s="2" t="s">
        <v>44</v>
      </c>
      <c r="J74" s="2" t="s">
        <v>31</v>
      </c>
      <c r="K74" s="2" t="s">
        <v>17</v>
      </c>
      <c r="L74">
        <v>2</v>
      </c>
      <c r="M74">
        <v>2025</v>
      </c>
      <c r="N74" s="2" t="str">
        <v>2025-02</v>
      </c>
      <c r="O74" s="1" t="str">
        <f t="shared" si="1"/>
        <v>Cancelled</v>
      </c>
    </row>
    <row r="75" spans="1:15" x14ac:dyDescent="0.35">
      <c r="A75" s="2" t="s">
        <v>127</v>
      </c>
      <c r="B75" s="3">
        <v>45741</v>
      </c>
      <c r="C75" s="2" t="s">
        <v>65</v>
      </c>
      <c r="D75" s="2" t="s">
        <v>61</v>
      </c>
      <c r="E75" s="4">
        <v>1200</v>
      </c>
      <c r="F75" s="4">
        <v>4</v>
      </c>
      <c r="G75" s="4">
        <v>4800</v>
      </c>
      <c r="H75" s="2" t="s">
        <v>80</v>
      </c>
      <c r="I75" s="2" t="s">
        <v>30</v>
      </c>
      <c r="J75" s="2" t="s">
        <v>58</v>
      </c>
      <c r="K75" s="2" t="s">
        <v>17</v>
      </c>
      <c r="L75">
        <v>3</v>
      </c>
      <c r="M75">
        <v>2025</v>
      </c>
      <c r="N75" s="2" t="str">
        <v>2025-03</v>
      </c>
      <c r="O75" s="1" t="str">
        <f t="shared" si="1"/>
        <v>Cancelled</v>
      </c>
    </row>
    <row r="76" spans="1:15" x14ac:dyDescent="0.35">
      <c r="A76" s="2" t="s">
        <v>128</v>
      </c>
      <c r="B76" s="3">
        <v>45714</v>
      </c>
      <c r="C76" s="2" t="s">
        <v>19</v>
      </c>
      <c r="D76" s="2" t="s">
        <v>20</v>
      </c>
      <c r="E76" s="4">
        <v>100</v>
      </c>
      <c r="F76" s="4">
        <v>2</v>
      </c>
      <c r="G76" s="4">
        <v>200</v>
      </c>
      <c r="H76" s="2" t="s">
        <v>57</v>
      </c>
      <c r="I76" s="2" t="s">
        <v>46</v>
      </c>
      <c r="J76" s="2" t="s">
        <v>39</v>
      </c>
      <c r="K76" s="2" t="s">
        <v>23</v>
      </c>
      <c r="L76">
        <v>2</v>
      </c>
      <c r="M76">
        <v>2025</v>
      </c>
      <c r="N76" s="2" t="str">
        <v>2025-02</v>
      </c>
      <c r="O76" s="1" t="str">
        <f t="shared" si="1"/>
        <v>Pending</v>
      </c>
    </row>
    <row r="77" spans="1:15" x14ac:dyDescent="0.35">
      <c r="A77" s="2" t="s">
        <v>129</v>
      </c>
      <c r="B77" s="3">
        <v>45712</v>
      </c>
      <c r="C77" s="2" t="s">
        <v>60</v>
      </c>
      <c r="D77" s="2" t="s">
        <v>61</v>
      </c>
      <c r="E77" s="4">
        <v>600</v>
      </c>
      <c r="F77" s="4">
        <v>1</v>
      </c>
      <c r="G77" s="4">
        <v>600</v>
      </c>
      <c r="H77" s="2" t="s">
        <v>80</v>
      </c>
      <c r="I77" s="2" t="s">
        <v>30</v>
      </c>
      <c r="J77" s="2" t="s">
        <v>27</v>
      </c>
      <c r="K77" s="2" t="s">
        <v>40</v>
      </c>
      <c r="L77">
        <v>2</v>
      </c>
      <c r="M77">
        <v>2025</v>
      </c>
      <c r="N77" s="2" t="str">
        <v>2025-02</v>
      </c>
      <c r="O77" s="1" t="str">
        <f t="shared" si="1"/>
        <v>Completed</v>
      </c>
    </row>
    <row r="78" spans="1:15" x14ac:dyDescent="0.35">
      <c r="A78" s="2" t="s">
        <v>130</v>
      </c>
      <c r="B78" s="3">
        <v>45736</v>
      </c>
      <c r="C78" s="2" t="s">
        <v>19</v>
      </c>
      <c r="D78" s="2" t="s">
        <v>20</v>
      </c>
      <c r="E78" s="4">
        <v>100</v>
      </c>
      <c r="F78" s="4">
        <v>2</v>
      </c>
      <c r="G78" s="4">
        <v>200</v>
      </c>
      <c r="H78" s="2" t="s">
        <v>57</v>
      </c>
      <c r="I78" s="2" t="s">
        <v>38</v>
      </c>
      <c r="J78" s="2" t="s">
        <v>31</v>
      </c>
      <c r="K78" s="2" t="s">
        <v>40</v>
      </c>
      <c r="L78">
        <v>3</v>
      </c>
      <c r="M78">
        <v>2025</v>
      </c>
      <c r="N78" s="2" t="str">
        <v>2025-03</v>
      </c>
      <c r="O78" s="1" t="str">
        <f t="shared" si="1"/>
        <v>Completed</v>
      </c>
    </row>
    <row r="79" spans="1:15" x14ac:dyDescent="0.35">
      <c r="A79" s="2" t="s">
        <v>131</v>
      </c>
      <c r="B79" s="3">
        <v>45734</v>
      </c>
      <c r="C79" s="2" t="s">
        <v>33</v>
      </c>
      <c r="D79" s="2" t="s">
        <v>20</v>
      </c>
      <c r="E79" s="4">
        <v>150</v>
      </c>
      <c r="F79" s="4">
        <v>2</v>
      </c>
      <c r="G79" s="4">
        <v>300</v>
      </c>
      <c r="H79" s="2" t="s">
        <v>14</v>
      </c>
      <c r="I79" s="2" t="s">
        <v>68</v>
      </c>
      <c r="J79" s="2" t="s">
        <v>58</v>
      </c>
      <c r="K79" s="2" t="s">
        <v>17</v>
      </c>
      <c r="L79">
        <v>3</v>
      </c>
      <c r="M79">
        <v>2025</v>
      </c>
      <c r="N79" s="2" t="str">
        <v>2025-03</v>
      </c>
      <c r="O79" s="1" t="str">
        <f t="shared" si="1"/>
        <v>Cancelled</v>
      </c>
    </row>
    <row r="80" spans="1:15" x14ac:dyDescent="0.35">
      <c r="A80" s="2" t="s">
        <v>132</v>
      </c>
      <c r="B80" s="3">
        <v>45725</v>
      </c>
      <c r="C80" s="2" t="s">
        <v>12</v>
      </c>
      <c r="D80" s="2" t="s">
        <v>13</v>
      </c>
      <c r="E80" s="4">
        <v>60</v>
      </c>
      <c r="F80" s="4">
        <v>2</v>
      </c>
      <c r="G80" s="4">
        <v>120</v>
      </c>
      <c r="H80" s="2" t="s">
        <v>21</v>
      </c>
      <c r="I80" s="2" t="s">
        <v>26</v>
      </c>
      <c r="J80" s="2" t="s">
        <v>58</v>
      </c>
      <c r="K80" s="2" t="s">
        <v>17</v>
      </c>
      <c r="L80">
        <v>3</v>
      </c>
      <c r="M80">
        <v>2025</v>
      </c>
      <c r="N80" s="2" t="str">
        <v>2025-03</v>
      </c>
      <c r="O80" s="1" t="str">
        <f t="shared" si="1"/>
        <v>Cancelled</v>
      </c>
    </row>
    <row r="81" spans="1:15" x14ac:dyDescent="0.35">
      <c r="A81" s="2" t="s">
        <v>133</v>
      </c>
      <c r="B81" s="3">
        <v>45711</v>
      </c>
      <c r="C81" s="2" t="s">
        <v>12</v>
      </c>
      <c r="D81" s="2" t="s">
        <v>13</v>
      </c>
      <c r="E81" s="4">
        <v>60</v>
      </c>
      <c r="F81" s="4">
        <v>4</v>
      </c>
      <c r="G81" s="4">
        <v>240</v>
      </c>
      <c r="H81" s="2" t="s">
        <v>43</v>
      </c>
      <c r="I81" s="2" t="s">
        <v>22</v>
      </c>
      <c r="J81" s="2" t="s">
        <v>16</v>
      </c>
      <c r="K81" s="2" t="s">
        <v>23</v>
      </c>
      <c r="L81">
        <v>2</v>
      </c>
      <c r="M81">
        <v>2025</v>
      </c>
      <c r="N81" s="2" t="str">
        <v>2025-02</v>
      </c>
      <c r="O81" s="1" t="str">
        <f t="shared" si="1"/>
        <v>Pending</v>
      </c>
    </row>
    <row r="82" spans="1:15" x14ac:dyDescent="0.35">
      <c r="A82" s="2" t="s">
        <v>134</v>
      </c>
      <c r="B82" s="3">
        <v>45714</v>
      </c>
      <c r="C82" s="2" t="s">
        <v>19</v>
      </c>
      <c r="D82" s="2" t="s">
        <v>20</v>
      </c>
      <c r="E82" s="4">
        <v>100</v>
      </c>
      <c r="F82" s="4">
        <v>3</v>
      </c>
      <c r="G82" s="4">
        <v>300</v>
      </c>
      <c r="H82" s="2" t="s">
        <v>54</v>
      </c>
      <c r="I82" s="2" t="s">
        <v>81</v>
      </c>
      <c r="J82" s="2" t="s">
        <v>39</v>
      </c>
      <c r="K82" s="2" t="s">
        <v>17</v>
      </c>
      <c r="L82">
        <v>2</v>
      </c>
      <c r="M82">
        <v>2025</v>
      </c>
      <c r="N82" s="2" t="str">
        <v>2025-02</v>
      </c>
      <c r="O82" s="1" t="str">
        <f t="shared" si="1"/>
        <v>Cancelled</v>
      </c>
    </row>
    <row r="83" spans="1:15" x14ac:dyDescent="0.35">
      <c r="A83" s="2" t="s">
        <v>135</v>
      </c>
      <c r="B83" s="3">
        <v>45712</v>
      </c>
      <c r="C83" s="2" t="s">
        <v>42</v>
      </c>
      <c r="D83" s="2" t="s">
        <v>20</v>
      </c>
      <c r="E83" s="4">
        <v>500</v>
      </c>
      <c r="F83" s="4">
        <v>3</v>
      </c>
      <c r="G83" s="4">
        <v>1500</v>
      </c>
      <c r="H83" s="2" t="s">
        <v>80</v>
      </c>
      <c r="I83" s="2" t="s">
        <v>63</v>
      </c>
      <c r="J83" s="2" t="s">
        <v>16</v>
      </c>
      <c r="K83" s="2" t="s">
        <v>17</v>
      </c>
      <c r="L83">
        <v>2</v>
      </c>
      <c r="M83">
        <v>2025</v>
      </c>
      <c r="N83" s="2" t="str">
        <v>2025-02</v>
      </c>
      <c r="O83" s="1" t="str">
        <f t="shared" si="1"/>
        <v>Cancelled</v>
      </c>
    </row>
    <row r="84" spans="1:15" x14ac:dyDescent="0.35">
      <c r="A84" s="2" t="s">
        <v>136</v>
      </c>
      <c r="B84" s="3">
        <v>45716</v>
      </c>
      <c r="C84" s="2" t="s">
        <v>60</v>
      </c>
      <c r="D84" s="2" t="s">
        <v>61</v>
      </c>
      <c r="E84" s="4">
        <v>600</v>
      </c>
      <c r="F84" s="4">
        <v>4</v>
      </c>
      <c r="G84" s="4">
        <v>2400</v>
      </c>
      <c r="H84" s="2" t="s">
        <v>14</v>
      </c>
      <c r="I84" s="2" t="s">
        <v>38</v>
      </c>
      <c r="J84" s="2" t="s">
        <v>58</v>
      </c>
      <c r="K84" s="2" t="s">
        <v>17</v>
      </c>
      <c r="L84">
        <v>2</v>
      </c>
      <c r="M84">
        <v>2025</v>
      </c>
      <c r="N84" s="2" t="str">
        <v>2025-02</v>
      </c>
      <c r="O84" s="1" t="str">
        <f t="shared" si="1"/>
        <v>Cancelled</v>
      </c>
    </row>
    <row r="85" spans="1:15" x14ac:dyDescent="0.35">
      <c r="A85" s="2" t="s">
        <v>137</v>
      </c>
      <c r="B85" s="3">
        <v>45702</v>
      </c>
      <c r="C85" s="2" t="s">
        <v>35</v>
      </c>
      <c r="D85" s="2" t="s">
        <v>36</v>
      </c>
      <c r="E85" s="4">
        <v>20</v>
      </c>
      <c r="F85" s="4">
        <v>5</v>
      </c>
      <c r="G85" s="4">
        <v>100</v>
      </c>
      <c r="H85" s="2" t="s">
        <v>29</v>
      </c>
      <c r="I85" s="2" t="s">
        <v>46</v>
      </c>
      <c r="J85" s="2" t="s">
        <v>39</v>
      </c>
      <c r="K85" s="2" t="s">
        <v>40</v>
      </c>
      <c r="L85">
        <v>2</v>
      </c>
      <c r="M85">
        <v>2025</v>
      </c>
      <c r="N85" s="2" t="str">
        <v>2025-02</v>
      </c>
      <c r="O85" s="1" t="str">
        <f t="shared" si="1"/>
        <v>Completed</v>
      </c>
    </row>
    <row r="86" spans="1:15" x14ac:dyDescent="0.35">
      <c r="A86" s="2" t="s">
        <v>138</v>
      </c>
      <c r="B86" s="3">
        <v>45694</v>
      </c>
      <c r="C86" s="2" t="s">
        <v>42</v>
      </c>
      <c r="D86" s="2" t="s">
        <v>20</v>
      </c>
      <c r="E86" s="4">
        <v>500</v>
      </c>
      <c r="F86" s="4">
        <v>5</v>
      </c>
      <c r="G86" s="4">
        <v>2500</v>
      </c>
      <c r="H86" s="2" t="s">
        <v>54</v>
      </c>
      <c r="I86" s="2" t="s">
        <v>38</v>
      </c>
      <c r="J86" s="2" t="s">
        <v>39</v>
      </c>
      <c r="K86" s="2" t="s">
        <v>40</v>
      </c>
      <c r="L86">
        <v>2</v>
      </c>
      <c r="M86">
        <v>2025</v>
      </c>
      <c r="N86" s="2" t="str">
        <v>2025-02</v>
      </c>
      <c r="O86" s="1" t="str">
        <f t="shared" si="1"/>
        <v>Completed</v>
      </c>
    </row>
    <row r="87" spans="1:15" x14ac:dyDescent="0.35">
      <c r="A87" s="2" t="s">
        <v>139</v>
      </c>
      <c r="B87" s="3">
        <v>45713</v>
      </c>
      <c r="C87" s="2" t="s">
        <v>33</v>
      </c>
      <c r="D87" s="2" t="s">
        <v>20</v>
      </c>
      <c r="E87" s="4">
        <v>150</v>
      </c>
      <c r="F87" s="4">
        <v>5</v>
      </c>
      <c r="G87" s="4">
        <v>750</v>
      </c>
      <c r="H87" s="2" t="s">
        <v>80</v>
      </c>
      <c r="I87" s="2" t="s">
        <v>30</v>
      </c>
      <c r="J87" s="2" t="s">
        <v>39</v>
      </c>
      <c r="K87" s="2" t="s">
        <v>17</v>
      </c>
      <c r="L87">
        <v>2</v>
      </c>
      <c r="M87">
        <v>2025</v>
      </c>
      <c r="N87" s="2" t="str">
        <v>2025-02</v>
      </c>
      <c r="O87" s="1" t="str">
        <f t="shared" si="1"/>
        <v>Cancelled</v>
      </c>
    </row>
    <row r="88" spans="1:15" x14ac:dyDescent="0.35">
      <c r="A88" s="2" t="s">
        <v>140</v>
      </c>
      <c r="B88" s="3">
        <v>45729</v>
      </c>
      <c r="C88" s="2" t="s">
        <v>12</v>
      </c>
      <c r="D88" s="2" t="s">
        <v>13</v>
      </c>
      <c r="E88" s="4">
        <v>60</v>
      </c>
      <c r="F88" s="4">
        <v>5</v>
      </c>
      <c r="G88" s="4">
        <v>300</v>
      </c>
      <c r="H88" s="2" t="s">
        <v>14</v>
      </c>
      <c r="I88" s="2" t="s">
        <v>44</v>
      </c>
      <c r="J88" s="2" t="s">
        <v>16</v>
      </c>
      <c r="K88" s="2" t="s">
        <v>40</v>
      </c>
      <c r="L88">
        <v>3</v>
      </c>
      <c r="M88">
        <v>2025</v>
      </c>
      <c r="N88" s="2" t="str">
        <v>2025-03</v>
      </c>
      <c r="O88" s="1" t="str">
        <f t="shared" si="1"/>
        <v>Completed</v>
      </c>
    </row>
    <row r="89" spans="1:15" x14ac:dyDescent="0.35">
      <c r="A89" s="2" t="s">
        <v>141</v>
      </c>
      <c r="B89" s="3">
        <v>45694</v>
      </c>
      <c r="C89" s="2" t="s">
        <v>65</v>
      </c>
      <c r="D89" s="2" t="s">
        <v>61</v>
      </c>
      <c r="E89" s="4">
        <v>1200</v>
      </c>
      <c r="F89" s="4">
        <v>2</v>
      </c>
      <c r="G89" s="4">
        <v>2400</v>
      </c>
      <c r="H89" s="2" t="s">
        <v>72</v>
      </c>
      <c r="I89" s="2" t="s">
        <v>63</v>
      </c>
      <c r="J89" s="2" t="s">
        <v>16</v>
      </c>
      <c r="K89" s="2" t="s">
        <v>23</v>
      </c>
      <c r="L89">
        <v>2</v>
      </c>
      <c r="M89">
        <v>2025</v>
      </c>
      <c r="N89" s="2" t="str">
        <v>2025-02</v>
      </c>
      <c r="O89" s="1" t="str">
        <f t="shared" si="1"/>
        <v>Pending</v>
      </c>
    </row>
    <row r="90" spans="1:15" x14ac:dyDescent="0.35">
      <c r="A90" s="2" t="s">
        <v>142</v>
      </c>
      <c r="B90" s="3">
        <v>45742</v>
      </c>
      <c r="C90" s="2" t="s">
        <v>12</v>
      </c>
      <c r="D90" s="2" t="s">
        <v>13</v>
      </c>
      <c r="E90" s="4">
        <v>60</v>
      </c>
      <c r="F90" s="4">
        <v>5</v>
      </c>
      <c r="G90" s="4">
        <v>300</v>
      </c>
      <c r="H90" s="2" t="s">
        <v>14</v>
      </c>
      <c r="I90" s="2" t="s">
        <v>68</v>
      </c>
      <c r="J90" s="2" t="s">
        <v>31</v>
      </c>
      <c r="K90" s="2" t="s">
        <v>17</v>
      </c>
      <c r="L90">
        <v>3</v>
      </c>
      <c r="M90">
        <v>2025</v>
      </c>
      <c r="N90" s="2" t="str">
        <v>2025-03</v>
      </c>
      <c r="O90" s="1" t="str">
        <f t="shared" si="1"/>
        <v>Cancelled</v>
      </c>
    </row>
    <row r="91" spans="1:15" x14ac:dyDescent="0.35">
      <c r="A91" s="2" t="s">
        <v>143</v>
      </c>
      <c r="B91" s="3">
        <v>45740</v>
      </c>
      <c r="C91" s="2" t="s">
        <v>33</v>
      </c>
      <c r="D91" s="2" t="s">
        <v>20</v>
      </c>
      <c r="E91" s="4">
        <v>150</v>
      </c>
      <c r="F91" s="4">
        <v>5</v>
      </c>
      <c r="G91" s="4">
        <v>750</v>
      </c>
      <c r="H91" s="2" t="s">
        <v>21</v>
      </c>
      <c r="I91" s="2" t="s">
        <v>38</v>
      </c>
      <c r="J91" s="2" t="s">
        <v>27</v>
      </c>
      <c r="K91" s="2" t="s">
        <v>40</v>
      </c>
      <c r="L91">
        <v>3</v>
      </c>
      <c r="M91">
        <v>2025</v>
      </c>
      <c r="N91" s="2" t="str">
        <v>2025-03</v>
      </c>
      <c r="O91" s="1" t="str">
        <f t="shared" si="1"/>
        <v>Completed</v>
      </c>
    </row>
    <row r="92" spans="1:15" x14ac:dyDescent="0.35">
      <c r="A92" s="2" t="s">
        <v>144</v>
      </c>
      <c r="B92" s="3">
        <v>45691</v>
      </c>
      <c r="C92" s="2" t="s">
        <v>56</v>
      </c>
      <c r="D92" s="2" t="s">
        <v>20</v>
      </c>
      <c r="E92" s="4">
        <v>800</v>
      </c>
      <c r="F92" s="4">
        <v>4</v>
      </c>
      <c r="G92" s="4">
        <v>3200</v>
      </c>
      <c r="H92" s="2" t="s">
        <v>57</v>
      </c>
      <c r="I92" s="2" t="s">
        <v>38</v>
      </c>
      <c r="J92" s="2" t="s">
        <v>58</v>
      </c>
      <c r="K92" s="2" t="s">
        <v>23</v>
      </c>
      <c r="L92">
        <v>2</v>
      </c>
      <c r="M92">
        <v>2025</v>
      </c>
      <c r="N92" s="2" t="str">
        <v>2025-02</v>
      </c>
      <c r="O92" s="1" t="str">
        <f t="shared" si="1"/>
        <v>Pending</v>
      </c>
    </row>
    <row r="93" spans="1:15" x14ac:dyDescent="0.35">
      <c r="A93" s="2" t="s">
        <v>145</v>
      </c>
      <c r="B93" s="3">
        <v>45731</v>
      </c>
      <c r="C93" s="2" t="s">
        <v>42</v>
      </c>
      <c r="D93" s="2" t="s">
        <v>20</v>
      </c>
      <c r="E93" s="4">
        <v>500</v>
      </c>
      <c r="F93" s="4">
        <v>2</v>
      </c>
      <c r="G93" s="4">
        <v>1000</v>
      </c>
      <c r="H93" s="2" t="s">
        <v>29</v>
      </c>
      <c r="I93" s="2" t="s">
        <v>46</v>
      </c>
      <c r="J93" s="2" t="s">
        <v>39</v>
      </c>
      <c r="K93" s="2" t="s">
        <v>17</v>
      </c>
      <c r="L93">
        <v>3</v>
      </c>
      <c r="M93">
        <v>2025</v>
      </c>
      <c r="N93" s="2" t="str">
        <v>2025-03</v>
      </c>
      <c r="O93" s="1" t="str">
        <f t="shared" si="1"/>
        <v>Cancelled</v>
      </c>
    </row>
    <row r="94" spans="1:15" x14ac:dyDescent="0.35">
      <c r="A94" s="2" t="s">
        <v>146</v>
      </c>
      <c r="B94" s="3">
        <v>45722</v>
      </c>
      <c r="C94" s="2" t="s">
        <v>65</v>
      </c>
      <c r="D94" s="2" t="s">
        <v>61</v>
      </c>
      <c r="E94" s="4">
        <v>1200</v>
      </c>
      <c r="F94" s="4">
        <v>5</v>
      </c>
      <c r="G94" s="4">
        <v>6000</v>
      </c>
      <c r="H94" s="2" t="s">
        <v>51</v>
      </c>
      <c r="I94" s="2" t="s">
        <v>26</v>
      </c>
      <c r="J94" s="2" t="s">
        <v>39</v>
      </c>
      <c r="K94" s="2" t="s">
        <v>17</v>
      </c>
      <c r="L94">
        <v>3</v>
      </c>
      <c r="M94">
        <v>2025</v>
      </c>
      <c r="N94" s="2" t="str">
        <v>2025-03</v>
      </c>
      <c r="O94" s="1" t="str">
        <f t="shared" si="1"/>
        <v>Cancelled</v>
      </c>
    </row>
    <row r="95" spans="1:15" x14ac:dyDescent="0.35">
      <c r="A95" s="2" t="s">
        <v>147</v>
      </c>
      <c r="B95" s="3">
        <v>45741</v>
      </c>
      <c r="C95" s="2" t="s">
        <v>53</v>
      </c>
      <c r="D95" s="2" t="s">
        <v>36</v>
      </c>
      <c r="E95" s="4">
        <v>40</v>
      </c>
      <c r="F95" s="4">
        <v>5</v>
      </c>
      <c r="G95" s="4">
        <v>200</v>
      </c>
      <c r="H95" s="2" t="s">
        <v>57</v>
      </c>
      <c r="I95" s="2" t="s">
        <v>63</v>
      </c>
      <c r="J95" s="2" t="s">
        <v>31</v>
      </c>
      <c r="K95" s="2" t="s">
        <v>17</v>
      </c>
      <c r="L95">
        <v>3</v>
      </c>
      <c r="M95">
        <v>2025</v>
      </c>
      <c r="N95" s="2" t="str">
        <v>2025-03</v>
      </c>
      <c r="O95" s="1" t="str">
        <f t="shared" si="1"/>
        <v>Cancelled</v>
      </c>
    </row>
    <row r="96" spans="1:15" x14ac:dyDescent="0.35">
      <c r="A96" s="2" t="s">
        <v>148</v>
      </c>
      <c r="B96" s="3">
        <v>45705</v>
      </c>
      <c r="C96" s="2" t="s">
        <v>33</v>
      </c>
      <c r="D96" s="2" t="s">
        <v>20</v>
      </c>
      <c r="E96" s="4">
        <v>150</v>
      </c>
      <c r="F96" s="4">
        <v>4</v>
      </c>
      <c r="G96" s="4">
        <v>600</v>
      </c>
      <c r="H96" s="2" t="s">
        <v>72</v>
      </c>
      <c r="I96" s="2" t="s">
        <v>15</v>
      </c>
      <c r="J96" s="2" t="s">
        <v>16</v>
      </c>
      <c r="K96" s="2" t="s">
        <v>17</v>
      </c>
      <c r="L96">
        <v>2</v>
      </c>
      <c r="M96">
        <v>2025</v>
      </c>
      <c r="N96" s="2" t="str">
        <v>2025-02</v>
      </c>
      <c r="O96" s="1" t="str">
        <f t="shared" si="1"/>
        <v>Cancelled</v>
      </c>
    </row>
    <row r="97" spans="1:15" x14ac:dyDescent="0.35">
      <c r="A97" s="2" t="s">
        <v>149</v>
      </c>
      <c r="B97" s="3">
        <v>45746</v>
      </c>
      <c r="C97" s="2" t="s">
        <v>33</v>
      </c>
      <c r="D97" s="2" t="s">
        <v>20</v>
      </c>
      <c r="E97" s="4">
        <v>150</v>
      </c>
      <c r="F97" s="4">
        <v>3</v>
      </c>
      <c r="G97" s="4">
        <v>450</v>
      </c>
      <c r="H97" s="2" t="s">
        <v>80</v>
      </c>
      <c r="I97" s="2" t="s">
        <v>15</v>
      </c>
      <c r="J97" s="2" t="s">
        <v>27</v>
      </c>
      <c r="K97" s="2" t="s">
        <v>40</v>
      </c>
      <c r="L97">
        <v>3</v>
      </c>
      <c r="M97">
        <v>2025</v>
      </c>
      <c r="N97" s="2" t="str">
        <v>2025-03</v>
      </c>
      <c r="O97" s="1" t="str">
        <f t="shared" si="1"/>
        <v>Completed</v>
      </c>
    </row>
    <row r="98" spans="1:15" x14ac:dyDescent="0.35">
      <c r="A98" s="2" t="s">
        <v>150</v>
      </c>
      <c r="B98" s="3">
        <v>45741</v>
      </c>
      <c r="C98" s="2" t="s">
        <v>49</v>
      </c>
      <c r="D98" s="2" t="s">
        <v>50</v>
      </c>
      <c r="E98" s="4">
        <v>15</v>
      </c>
      <c r="F98" s="4">
        <v>5</v>
      </c>
      <c r="G98" s="4">
        <v>75</v>
      </c>
      <c r="H98" s="2" t="s">
        <v>29</v>
      </c>
      <c r="I98" s="2" t="s">
        <v>81</v>
      </c>
      <c r="J98" s="2" t="s">
        <v>27</v>
      </c>
      <c r="K98" s="2" t="s">
        <v>23</v>
      </c>
      <c r="L98">
        <v>3</v>
      </c>
      <c r="M98">
        <v>2025</v>
      </c>
      <c r="N98" s="2" t="str">
        <v>2025-03</v>
      </c>
      <c r="O98" s="1" t="str">
        <f t="shared" si="1"/>
        <v>Pending</v>
      </c>
    </row>
    <row r="99" spans="1:15" x14ac:dyDescent="0.35">
      <c r="A99" s="2" t="s">
        <v>151</v>
      </c>
      <c r="B99" s="3">
        <v>45702</v>
      </c>
      <c r="C99" s="2" t="s">
        <v>33</v>
      </c>
      <c r="D99" s="2" t="s">
        <v>20</v>
      </c>
      <c r="E99" s="4">
        <v>150</v>
      </c>
      <c r="F99" s="4">
        <v>2</v>
      </c>
      <c r="G99" s="4">
        <v>300</v>
      </c>
      <c r="H99" s="2" t="s">
        <v>72</v>
      </c>
      <c r="I99" s="2" t="s">
        <v>44</v>
      </c>
      <c r="J99" s="2" t="s">
        <v>39</v>
      </c>
      <c r="K99" s="2" t="s">
        <v>23</v>
      </c>
      <c r="L99">
        <v>2</v>
      </c>
      <c r="M99">
        <v>2025</v>
      </c>
      <c r="N99" s="2" t="str">
        <v>2025-02</v>
      </c>
      <c r="O99" s="1" t="str">
        <f t="shared" si="1"/>
        <v>Pending</v>
      </c>
    </row>
    <row r="100" spans="1:15" x14ac:dyDescent="0.35">
      <c r="A100" s="2" t="s">
        <v>152</v>
      </c>
      <c r="B100" s="3">
        <v>45706</v>
      </c>
      <c r="C100" s="2" t="s">
        <v>60</v>
      </c>
      <c r="D100" s="2" t="s">
        <v>61</v>
      </c>
      <c r="E100" s="4">
        <v>600</v>
      </c>
      <c r="F100" s="4">
        <v>5</v>
      </c>
      <c r="G100" s="4">
        <v>3000</v>
      </c>
      <c r="H100" s="2" t="s">
        <v>54</v>
      </c>
      <c r="I100" s="2" t="s">
        <v>63</v>
      </c>
      <c r="J100" s="2" t="s">
        <v>16</v>
      </c>
      <c r="K100" s="2" t="s">
        <v>40</v>
      </c>
      <c r="L100">
        <v>2</v>
      </c>
      <c r="M100">
        <v>2025</v>
      </c>
      <c r="N100" s="2" t="str">
        <v>2025-02</v>
      </c>
      <c r="O100" s="1" t="str">
        <f t="shared" si="1"/>
        <v>Completed</v>
      </c>
    </row>
    <row r="101" spans="1:15" x14ac:dyDescent="0.35">
      <c r="A101" s="2" t="s">
        <v>153</v>
      </c>
      <c r="B101" s="3">
        <v>45701</v>
      </c>
      <c r="C101" s="2" t="s">
        <v>12</v>
      </c>
      <c r="D101" s="2" t="s">
        <v>13</v>
      </c>
      <c r="E101" s="4">
        <v>60</v>
      </c>
      <c r="F101" s="4">
        <v>1</v>
      </c>
      <c r="G101" s="4">
        <v>60</v>
      </c>
      <c r="H101" s="2" t="s">
        <v>80</v>
      </c>
      <c r="I101" s="2" t="s">
        <v>38</v>
      </c>
      <c r="J101" s="2" t="s">
        <v>58</v>
      </c>
      <c r="K101" s="2" t="s">
        <v>17</v>
      </c>
      <c r="L101">
        <v>2</v>
      </c>
      <c r="M101">
        <v>2025</v>
      </c>
      <c r="N101" s="2" t="str">
        <v>2025-02</v>
      </c>
      <c r="O101" s="1" t="str">
        <f t="shared" si="1"/>
        <v>Cancelled</v>
      </c>
    </row>
    <row r="102" spans="1:15" x14ac:dyDescent="0.35">
      <c r="A102" s="2" t="s">
        <v>154</v>
      </c>
      <c r="B102" s="3">
        <v>45708</v>
      </c>
      <c r="C102" s="2" t="s">
        <v>49</v>
      </c>
      <c r="D102" s="2" t="s">
        <v>50</v>
      </c>
      <c r="E102" s="4">
        <v>15</v>
      </c>
      <c r="F102" s="4">
        <v>5</v>
      </c>
      <c r="G102" s="4">
        <v>75</v>
      </c>
      <c r="H102" s="2" t="s">
        <v>25</v>
      </c>
      <c r="I102" s="2" t="s">
        <v>26</v>
      </c>
      <c r="J102" s="2" t="s">
        <v>39</v>
      </c>
      <c r="K102" s="2" t="s">
        <v>23</v>
      </c>
      <c r="L102">
        <v>2</v>
      </c>
      <c r="M102">
        <v>2025</v>
      </c>
      <c r="N102" s="2" t="str">
        <v>2025-02</v>
      </c>
      <c r="O102" s="1" t="str">
        <f t="shared" si="1"/>
        <v>Pending</v>
      </c>
    </row>
    <row r="103" spans="1:15" x14ac:dyDescent="0.35">
      <c r="A103" s="2" t="s">
        <v>155</v>
      </c>
      <c r="B103" s="3">
        <v>45716</v>
      </c>
      <c r="C103" s="2" t="s">
        <v>42</v>
      </c>
      <c r="D103" s="2" t="s">
        <v>20</v>
      </c>
      <c r="E103" s="4">
        <v>500</v>
      </c>
      <c r="F103" s="4">
        <v>2</v>
      </c>
      <c r="G103" s="4">
        <v>1000</v>
      </c>
      <c r="H103" s="2" t="s">
        <v>51</v>
      </c>
      <c r="I103" s="2" t="s">
        <v>46</v>
      </c>
      <c r="J103" s="2" t="s">
        <v>39</v>
      </c>
      <c r="K103" s="2" t="s">
        <v>23</v>
      </c>
      <c r="L103">
        <v>2</v>
      </c>
      <c r="M103">
        <v>2025</v>
      </c>
      <c r="N103" s="2" t="str">
        <v>2025-02</v>
      </c>
      <c r="O103" s="1" t="str">
        <f t="shared" si="1"/>
        <v>Pending</v>
      </c>
    </row>
    <row r="104" spans="1:15" x14ac:dyDescent="0.35">
      <c r="A104" s="2" t="s">
        <v>156</v>
      </c>
      <c r="B104" s="3">
        <v>45730</v>
      </c>
      <c r="C104" s="2" t="s">
        <v>35</v>
      </c>
      <c r="D104" s="2" t="s">
        <v>36</v>
      </c>
      <c r="E104" s="4">
        <v>20</v>
      </c>
      <c r="F104" s="4">
        <v>2</v>
      </c>
      <c r="G104" s="4">
        <v>40</v>
      </c>
      <c r="H104" s="2" t="s">
        <v>54</v>
      </c>
      <c r="I104" s="2" t="s">
        <v>81</v>
      </c>
      <c r="J104" s="2" t="s">
        <v>39</v>
      </c>
      <c r="K104" s="2" t="s">
        <v>23</v>
      </c>
      <c r="L104">
        <v>3</v>
      </c>
      <c r="M104">
        <v>2025</v>
      </c>
      <c r="N104" s="2" t="str">
        <v>2025-03</v>
      </c>
      <c r="O104" s="1" t="str">
        <f t="shared" si="1"/>
        <v>Pending</v>
      </c>
    </row>
    <row r="105" spans="1:15" x14ac:dyDescent="0.35">
      <c r="A105" s="2" t="s">
        <v>157</v>
      </c>
      <c r="B105" s="3">
        <v>45710</v>
      </c>
      <c r="C105" s="2" t="s">
        <v>53</v>
      </c>
      <c r="D105" s="2" t="s">
        <v>36</v>
      </c>
      <c r="E105" s="4">
        <v>40</v>
      </c>
      <c r="F105" s="4">
        <v>5</v>
      </c>
      <c r="G105" s="4">
        <v>200</v>
      </c>
      <c r="H105" s="2" t="s">
        <v>80</v>
      </c>
      <c r="I105" s="2" t="s">
        <v>30</v>
      </c>
      <c r="J105" s="2" t="s">
        <v>16</v>
      </c>
      <c r="K105" s="2" t="s">
        <v>23</v>
      </c>
      <c r="L105">
        <v>2</v>
      </c>
      <c r="M105">
        <v>2025</v>
      </c>
      <c r="N105" s="2" t="str">
        <v>2025-02</v>
      </c>
      <c r="O105" s="1" t="str">
        <f t="shared" si="1"/>
        <v>Pending</v>
      </c>
    </row>
    <row r="106" spans="1:15" x14ac:dyDescent="0.35">
      <c r="A106" s="2" t="s">
        <v>158</v>
      </c>
      <c r="B106" s="3">
        <v>45732</v>
      </c>
      <c r="C106" s="2" t="s">
        <v>53</v>
      </c>
      <c r="D106" s="2" t="s">
        <v>36</v>
      </c>
      <c r="E106" s="4">
        <v>40</v>
      </c>
      <c r="F106" s="4">
        <v>1</v>
      </c>
      <c r="G106" s="4">
        <v>40</v>
      </c>
      <c r="H106" s="2" t="s">
        <v>80</v>
      </c>
      <c r="I106" s="2" t="s">
        <v>46</v>
      </c>
      <c r="J106" s="2" t="s">
        <v>16</v>
      </c>
      <c r="K106" s="2" t="s">
        <v>23</v>
      </c>
      <c r="L106">
        <v>3</v>
      </c>
      <c r="M106">
        <v>2025</v>
      </c>
      <c r="N106" s="2" t="str">
        <v>2025-03</v>
      </c>
      <c r="O106" s="1" t="str">
        <f t="shared" si="1"/>
        <v>Pending</v>
      </c>
    </row>
    <row r="107" spans="1:15" x14ac:dyDescent="0.35">
      <c r="A107" s="2" t="s">
        <v>159</v>
      </c>
      <c r="B107" s="3">
        <v>45731</v>
      </c>
      <c r="C107" s="2" t="s">
        <v>35</v>
      </c>
      <c r="D107" s="2" t="s">
        <v>36</v>
      </c>
      <c r="E107" s="4">
        <v>20</v>
      </c>
      <c r="F107" s="4">
        <v>3</v>
      </c>
      <c r="G107" s="4">
        <v>60</v>
      </c>
      <c r="H107" s="2" t="s">
        <v>29</v>
      </c>
      <c r="I107" s="2" t="s">
        <v>81</v>
      </c>
      <c r="J107" s="2" t="s">
        <v>39</v>
      </c>
      <c r="K107" s="2" t="s">
        <v>23</v>
      </c>
      <c r="L107">
        <v>3</v>
      </c>
      <c r="M107">
        <v>2025</v>
      </c>
      <c r="N107" s="2" t="str">
        <v>2025-03</v>
      </c>
      <c r="O107" s="1" t="str">
        <f t="shared" si="1"/>
        <v>Pending</v>
      </c>
    </row>
    <row r="108" spans="1:15" x14ac:dyDescent="0.35">
      <c r="A108" s="2" t="s">
        <v>160</v>
      </c>
      <c r="B108" s="3">
        <v>45735</v>
      </c>
      <c r="C108" s="2" t="s">
        <v>53</v>
      </c>
      <c r="D108" s="2" t="s">
        <v>36</v>
      </c>
      <c r="E108" s="4">
        <v>40</v>
      </c>
      <c r="F108" s="4">
        <v>3</v>
      </c>
      <c r="G108" s="4">
        <v>120</v>
      </c>
      <c r="H108" s="2" t="s">
        <v>29</v>
      </c>
      <c r="I108" s="2" t="s">
        <v>30</v>
      </c>
      <c r="J108" s="2" t="s">
        <v>31</v>
      </c>
      <c r="K108" s="2" t="s">
        <v>17</v>
      </c>
      <c r="L108">
        <v>3</v>
      </c>
      <c r="M108">
        <v>2025</v>
      </c>
      <c r="N108" s="2" t="str">
        <v>2025-03</v>
      </c>
      <c r="O108" s="1" t="str">
        <f t="shared" si="1"/>
        <v>Cancelled</v>
      </c>
    </row>
    <row r="109" spans="1:15" x14ac:dyDescent="0.35">
      <c r="A109" s="2" t="s">
        <v>161</v>
      </c>
      <c r="B109" s="3">
        <v>45732</v>
      </c>
      <c r="C109" s="2" t="s">
        <v>19</v>
      </c>
      <c r="D109" s="2" t="s">
        <v>20</v>
      </c>
      <c r="E109" s="4">
        <v>100</v>
      </c>
      <c r="F109" s="4">
        <v>2</v>
      </c>
      <c r="G109" s="4">
        <v>200</v>
      </c>
      <c r="H109" s="2" t="s">
        <v>57</v>
      </c>
      <c r="I109" s="2" t="s">
        <v>44</v>
      </c>
      <c r="J109" s="2" t="s">
        <v>39</v>
      </c>
      <c r="K109" s="2" t="s">
        <v>23</v>
      </c>
      <c r="L109">
        <v>3</v>
      </c>
      <c r="M109">
        <v>2025</v>
      </c>
      <c r="N109" s="2" t="str">
        <v>2025-03</v>
      </c>
      <c r="O109" s="1" t="str">
        <f t="shared" si="1"/>
        <v>Pending</v>
      </c>
    </row>
    <row r="110" spans="1:15" x14ac:dyDescent="0.35">
      <c r="A110" s="2" t="s">
        <v>162</v>
      </c>
      <c r="B110" s="3">
        <v>45733</v>
      </c>
      <c r="C110" s="2" t="s">
        <v>53</v>
      </c>
      <c r="D110" s="2" t="s">
        <v>36</v>
      </c>
      <c r="E110" s="4">
        <v>40</v>
      </c>
      <c r="F110" s="4">
        <v>5</v>
      </c>
      <c r="G110" s="4">
        <v>200</v>
      </c>
      <c r="H110" s="2" t="s">
        <v>54</v>
      </c>
      <c r="I110" s="2" t="s">
        <v>15</v>
      </c>
      <c r="J110" s="2" t="s">
        <v>39</v>
      </c>
      <c r="K110" s="2" t="s">
        <v>40</v>
      </c>
      <c r="L110">
        <v>3</v>
      </c>
      <c r="M110">
        <v>2025</v>
      </c>
      <c r="N110" s="2" t="str">
        <v>2025-03</v>
      </c>
      <c r="O110" s="1" t="str">
        <f t="shared" si="1"/>
        <v>Completed</v>
      </c>
    </row>
    <row r="111" spans="1:15" x14ac:dyDescent="0.35">
      <c r="A111" s="2" t="s">
        <v>163</v>
      </c>
      <c r="B111" s="3">
        <v>45706</v>
      </c>
      <c r="C111" s="2" t="s">
        <v>42</v>
      </c>
      <c r="D111" s="2" t="s">
        <v>20</v>
      </c>
      <c r="E111" s="4">
        <v>500</v>
      </c>
      <c r="F111" s="4">
        <v>5</v>
      </c>
      <c r="G111" s="4">
        <v>2500</v>
      </c>
      <c r="H111" s="2" t="s">
        <v>29</v>
      </c>
      <c r="I111" s="2" t="s">
        <v>30</v>
      </c>
      <c r="J111" s="2" t="s">
        <v>27</v>
      </c>
      <c r="K111" s="2" t="s">
        <v>23</v>
      </c>
      <c r="L111">
        <v>2</v>
      </c>
      <c r="M111">
        <v>2025</v>
      </c>
      <c r="N111" s="2" t="str">
        <v>2025-02</v>
      </c>
      <c r="O111" s="1" t="str">
        <f t="shared" si="1"/>
        <v>Pending</v>
      </c>
    </row>
    <row r="112" spans="1:15" x14ac:dyDescent="0.35">
      <c r="A112" s="2" t="s">
        <v>164</v>
      </c>
      <c r="B112" s="3">
        <v>45747</v>
      </c>
      <c r="C112" s="2" t="s">
        <v>56</v>
      </c>
      <c r="D112" s="2" t="s">
        <v>20</v>
      </c>
      <c r="E112" s="4">
        <v>800</v>
      </c>
      <c r="F112" s="4">
        <v>4</v>
      </c>
      <c r="G112" s="4">
        <v>3200</v>
      </c>
      <c r="H112" s="2" t="s">
        <v>14</v>
      </c>
      <c r="I112" s="2" t="s">
        <v>68</v>
      </c>
      <c r="J112" s="2" t="s">
        <v>31</v>
      </c>
      <c r="K112" s="2" t="s">
        <v>40</v>
      </c>
      <c r="L112">
        <v>3</v>
      </c>
      <c r="M112">
        <v>2025</v>
      </c>
      <c r="N112" s="2" t="str">
        <v>2025-03</v>
      </c>
      <c r="O112" s="1" t="str">
        <f t="shared" si="1"/>
        <v>Completed</v>
      </c>
    </row>
    <row r="113" spans="1:15" x14ac:dyDescent="0.35">
      <c r="A113" s="2" t="s">
        <v>165</v>
      </c>
      <c r="B113" s="3">
        <v>45722</v>
      </c>
      <c r="C113" s="2" t="s">
        <v>60</v>
      </c>
      <c r="D113" s="2" t="s">
        <v>61</v>
      </c>
      <c r="E113" s="4">
        <v>600</v>
      </c>
      <c r="F113" s="4">
        <v>2</v>
      </c>
      <c r="G113" s="4">
        <v>1200</v>
      </c>
      <c r="H113" s="2" t="s">
        <v>51</v>
      </c>
      <c r="I113" s="2" t="s">
        <v>30</v>
      </c>
      <c r="J113" s="2" t="s">
        <v>58</v>
      </c>
      <c r="K113" s="2" t="s">
        <v>17</v>
      </c>
      <c r="L113">
        <v>3</v>
      </c>
      <c r="M113">
        <v>2025</v>
      </c>
      <c r="N113" s="2" t="str">
        <v>2025-03</v>
      </c>
      <c r="O113" s="1" t="str">
        <f t="shared" si="1"/>
        <v>Cancelled</v>
      </c>
    </row>
    <row r="114" spans="1:15" x14ac:dyDescent="0.35">
      <c r="A114" s="2" t="s">
        <v>166</v>
      </c>
      <c r="B114" s="3">
        <v>45735</v>
      </c>
      <c r="C114" s="2" t="s">
        <v>49</v>
      </c>
      <c r="D114" s="2" t="s">
        <v>50</v>
      </c>
      <c r="E114" s="4">
        <v>15</v>
      </c>
      <c r="F114" s="4">
        <v>5</v>
      </c>
      <c r="G114" s="4">
        <v>75</v>
      </c>
      <c r="H114" s="2" t="s">
        <v>51</v>
      </c>
      <c r="I114" s="2" t="s">
        <v>22</v>
      </c>
      <c r="J114" s="2" t="s">
        <v>16</v>
      </c>
      <c r="K114" s="2" t="s">
        <v>23</v>
      </c>
      <c r="L114">
        <v>3</v>
      </c>
      <c r="M114">
        <v>2025</v>
      </c>
      <c r="N114" s="2" t="str">
        <v>2025-03</v>
      </c>
      <c r="O114" s="1" t="str">
        <f t="shared" si="1"/>
        <v>Pending</v>
      </c>
    </row>
    <row r="115" spans="1:15" x14ac:dyDescent="0.35">
      <c r="A115" s="2" t="s">
        <v>167</v>
      </c>
      <c r="B115" s="3">
        <v>45711</v>
      </c>
      <c r="C115" s="2" t="s">
        <v>12</v>
      </c>
      <c r="D115" s="2" t="s">
        <v>13</v>
      </c>
      <c r="E115" s="4">
        <v>60</v>
      </c>
      <c r="F115" s="4">
        <v>1</v>
      </c>
      <c r="G115" s="4">
        <v>60</v>
      </c>
      <c r="H115" s="2" t="s">
        <v>14</v>
      </c>
      <c r="I115" s="2" t="s">
        <v>38</v>
      </c>
      <c r="J115" s="2" t="s">
        <v>31</v>
      </c>
      <c r="K115" s="2" t="s">
        <v>23</v>
      </c>
      <c r="L115">
        <v>2</v>
      </c>
      <c r="M115">
        <v>2025</v>
      </c>
      <c r="N115" s="2" t="str">
        <v>2025-02</v>
      </c>
      <c r="O115" s="1" t="str">
        <f t="shared" si="1"/>
        <v>Pending</v>
      </c>
    </row>
    <row r="116" spans="1:15" x14ac:dyDescent="0.35">
      <c r="A116" s="2" t="s">
        <v>168</v>
      </c>
      <c r="B116" s="3">
        <v>45737</v>
      </c>
      <c r="C116" s="2" t="s">
        <v>12</v>
      </c>
      <c r="D116" s="2" t="s">
        <v>13</v>
      </c>
      <c r="E116" s="4">
        <v>60</v>
      </c>
      <c r="F116" s="4">
        <v>3</v>
      </c>
      <c r="G116" s="4">
        <v>180</v>
      </c>
      <c r="H116" s="2" t="s">
        <v>29</v>
      </c>
      <c r="I116" s="2" t="s">
        <v>44</v>
      </c>
      <c r="J116" s="2" t="s">
        <v>27</v>
      </c>
      <c r="K116" s="2" t="s">
        <v>40</v>
      </c>
      <c r="L116">
        <v>3</v>
      </c>
      <c r="M116">
        <v>2025</v>
      </c>
      <c r="N116" s="2" t="str">
        <v>2025-03</v>
      </c>
      <c r="O116" s="1" t="str">
        <f t="shared" si="1"/>
        <v>Completed</v>
      </c>
    </row>
    <row r="117" spans="1:15" x14ac:dyDescent="0.35">
      <c r="A117" s="2" t="s">
        <v>169</v>
      </c>
      <c r="B117" s="3">
        <v>45735</v>
      </c>
      <c r="C117" s="2" t="s">
        <v>56</v>
      </c>
      <c r="D117" s="2" t="s">
        <v>20</v>
      </c>
      <c r="E117" s="4">
        <v>800</v>
      </c>
      <c r="F117" s="4">
        <v>4</v>
      </c>
      <c r="G117" s="4">
        <v>3200</v>
      </c>
      <c r="H117" s="2" t="s">
        <v>14</v>
      </c>
      <c r="I117" s="2" t="s">
        <v>68</v>
      </c>
      <c r="J117" s="2" t="s">
        <v>27</v>
      </c>
      <c r="K117" s="2" t="s">
        <v>40</v>
      </c>
      <c r="L117">
        <v>3</v>
      </c>
      <c r="M117">
        <v>2025</v>
      </c>
      <c r="N117" s="2" t="str">
        <v>2025-03</v>
      </c>
      <c r="O117" s="1" t="str">
        <f t="shared" si="1"/>
        <v>Completed</v>
      </c>
    </row>
    <row r="118" spans="1:15" x14ac:dyDescent="0.35">
      <c r="A118" s="2" t="s">
        <v>170</v>
      </c>
      <c r="B118" s="3">
        <v>45715</v>
      </c>
      <c r="C118" s="2" t="s">
        <v>35</v>
      </c>
      <c r="D118" s="2" t="s">
        <v>36</v>
      </c>
      <c r="E118" s="4">
        <v>20</v>
      </c>
      <c r="F118" s="4">
        <v>1</v>
      </c>
      <c r="G118" s="4">
        <v>20</v>
      </c>
      <c r="H118" s="2" t="s">
        <v>57</v>
      </c>
      <c r="I118" s="2" t="s">
        <v>15</v>
      </c>
      <c r="J118" s="2" t="s">
        <v>31</v>
      </c>
      <c r="K118" s="2" t="s">
        <v>40</v>
      </c>
      <c r="L118">
        <v>2</v>
      </c>
      <c r="M118">
        <v>2025</v>
      </c>
      <c r="N118" s="2" t="str">
        <v>2025-02</v>
      </c>
      <c r="O118" s="1" t="str">
        <f t="shared" si="1"/>
        <v>Completed</v>
      </c>
    </row>
    <row r="119" spans="1:15" x14ac:dyDescent="0.35">
      <c r="A119" s="2" t="s">
        <v>171</v>
      </c>
      <c r="B119" s="3">
        <v>45698</v>
      </c>
      <c r="C119" s="2" t="s">
        <v>19</v>
      </c>
      <c r="D119" s="2" t="s">
        <v>20</v>
      </c>
      <c r="E119" s="4">
        <v>100</v>
      </c>
      <c r="F119" s="4">
        <v>5</v>
      </c>
      <c r="G119" s="4">
        <v>500</v>
      </c>
      <c r="H119" s="2" t="s">
        <v>25</v>
      </c>
      <c r="I119" s="2" t="s">
        <v>38</v>
      </c>
      <c r="J119" s="2" t="s">
        <v>27</v>
      </c>
      <c r="K119" s="2" t="s">
        <v>40</v>
      </c>
      <c r="L119">
        <v>2</v>
      </c>
      <c r="M119">
        <v>2025</v>
      </c>
      <c r="N119" s="2" t="str">
        <v>2025-02</v>
      </c>
      <c r="O119" s="1" t="str">
        <f t="shared" si="1"/>
        <v>Completed</v>
      </c>
    </row>
    <row r="120" spans="1:15" x14ac:dyDescent="0.35">
      <c r="A120" s="2" t="s">
        <v>172</v>
      </c>
      <c r="B120" s="3">
        <v>45732</v>
      </c>
      <c r="C120" s="2" t="s">
        <v>42</v>
      </c>
      <c r="D120" s="2" t="s">
        <v>20</v>
      </c>
      <c r="E120" s="4">
        <v>500</v>
      </c>
      <c r="F120" s="4">
        <v>2</v>
      </c>
      <c r="G120" s="4">
        <v>1000</v>
      </c>
      <c r="H120" s="2" t="s">
        <v>72</v>
      </c>
      <c r="I120" s="2" t="s">
        <v>81</v>
      </c>
      <c r="J120" s="2" t="s">
        <v>39</v>
      </c>
      <c r="K120" s="2" t="s">
        <v>23</v>
      </c>
      <c r="L120">
        <v>3</v>
      </c>
      <c r="M120">
        <v>2025</v>
      </c>
      <c r="N120" s="2" t="str">
        <v>2025-03</v>
      </c>
      <c r="O120" s="1" t="str">
        <f t="shared" si="1"/>
        <v>Pending</v>
      </c>
    </row>
    <row r="121" spans="1:15" x14ac:dyDescent="0.35">
      <c r="A121" s="2" t="s">
        <v>173</v>
      </c>
      <c r="B121" s="3">
        <v>45704</v>
      </c>
      <c r="C121" s="2" t="s">
        <v>56</v>
      </c>
      <c r="D121" s="2" t="s">
        <v>20</v>
      </c>
      <c r="E121" s="4">
        <v>800</v>
      </c>
      <c r="F121" s="4">
        <v>5</v>
      </c>
      <c r="G121" s="4">
        <v>4000</v>
      </c>
      <c r="H121" s="2" t="s">
        <v>21</v>
      </c>
      <c r="I121" s="2" t="s">
        <v>26</v>
      </c>
      <c r="J121" s="2" t="s">
        <v>39</v>
      </c>
      <c r="K121" s="2" t="s">
        <v>40</v>
      </c>
      <c r="L121">
        <v>2</v>
      </c>
      <c r="M121">
        <v>2025</v>
      </c>
      <c r="N121" s="2" t="str">
        <v>2025-02</v>
      </c>
      <c r="O121" s="1" t="str">
        <f t="shared" si="1"/>
        <v>Completed</v>
      </c>
    </row>
    <row r="122" spans="1:15" x14ac:dyDescent="0.35">
      <c r="A122" s="2" t="s">
        <v>174</v>
      </c>
      <c r="B122" s="3">
        <v>45706</v>
      </c>
      <c r="C122" s="2" t="s">
        <v>42</v>
      </c>
      <c r="D122" s="2" t="s">
        <v>20</v>
      </c>
      <c r="E122" s="4">
        <v>500</v>
      </c>
      <c r="F122" s="4">
        <v>1</v>
      </c>
      <c r="G122" s="4">
        <v>500</v>
      </c>
      <c r="H122" s="2" t="s">
        <v>25</v>
      </c>
      <c r="I122" s="2" t="s">
        <v>30</v>
      </c>
      <c r="J122" s="2" t="s">
        <v>58</v>
      </c>
      <c r="K122" s="2" t="s">
        <v>23</v>
      </c>
      <c r="L122">
        <v>2</v>
      </c>
      <c r="M122">
        <v>2025</v>
      </c>
      <c r="N122" s="2" t="str">
        <v>2025-02</v>
      </c>
      <c r="O122" s="1" t="str">
        <f t="shared" si="1"/>
        <v>Pending</v>
      </c>
    </row>
    <row r="123" spans="1:15" x14ac:dyDescent="0.35">
      <c r="A123" s="2" t="s">
        <v>175</v>
      </c>
      <c r="B123" s="3">
        <v>45744</v>
      </c>
      <c r="C123" s="2" t="s">
        <v>56</v>
      </c>
      <c r="D123" s="2" t="s">
        <v>20</v>
      </c>
      <c r="E123" s="4">
        <v>800</v>
      </c>
      <c r="F123" s="4">
        <v>3</v>
      </c>
      <c r="G123" s="4">
        <v>2400</v>
      </c>
      <c r="H123" s="2" t="s">
        <v>25</v>
      </c>
      <c r="I123" s="2" t="s">
        <v>44</v>
      </c>
      <c r="J123" s="2" t="s">
        <v>31</v>
      </c>
      <c r="K123" s="2" t="s">
        <v>17</v>
      </c>
      <c r="L123">
        <v>3</v>
      </c>
      <c r="M123">
        <v>2025</v>
      </c>
      <c r="N123" s="2" t="str">
        <v>2025-03</v>
      </c>
      <c r="O123" s="1" t="str">
        <f t="shared" si="1"/>
        <v>Cancelled</v>
      </c>
    </row>
    <row r="124" spans="1:15" x14ac:dyDescent="0.35">
      <c r="A124" s="2" t="s">
        <v>176</v>
      </c>
      <c r="B124" s="3">
        <v>45711</v>
      </c>
      <c r="C124" s="2" t="s">
        <v>49</v>
      </c>
      <c r="D124" s="2" t="s">
        <v>50</v>
      </c>
      <c r="E124" s="4">
        <v>15</v>
      </c>
      <c r="F124" s="4">
        <v>3</v>
      </c>
      <c r="G124" s="4">
        <v>45</v>
      </c>
      <c r="H124" s="2" t="s">
        <v>72</v>
      </c>
      <c r="I124" s="2" t="s">
        <v>46</v>
      </c>
      <c r="J124" s="2" t="s">
        <v>58</v>
      </c>
      <c r="K124" s="2" t="s">
        <v>17</v>
      </c>
      <c r="L124">
        <v>2</v>
      </c>
      <c r="M124">
        <v>2025</v>
      </c>
      <c r="N124" s="2" t="str">
        <v>2025-02</v>
      </c>
      <c r="O124" s="1" t="str">
        <f t="shared" si="1"/>
        <v>Cancelled</v>
      </c>
    </row>
    <row r="125" spans="1:15" x14ac:dyDescent="0.35">
      <c r="A125" s="2" t="s">
        <v>177</v>
      </c>
      <c r="B125" s="3">
        <v>45698</v>
      </c>
      <c r="C125" s="2" t="s">
        <v>49</v>
      </c>
      <c r="D125" s="2" t="s">
        <v>50</v>
      </c>
      <c r="E125" s="4">
        <v>15</v>
      </c>
      <c r="F125" s="4">
        <v>1</v>
      </c>
      <c r="G125" s="4">
        <v>15</v>
      </c>
      <c r="H125" s="2" t="s">
        <v>14</v>
      </c>
      <c r="I125" s="2" t="s">
        <v>63</v>
      </c>
      <c r="J125" s="2" t="s">
        <v>58</v>
      </c>
      <c r="K125" s="2" t="s">
        <v>23</v>
      </c>
      <c r="L125">
        <v>2</v>
      </c>
      <c r="M125">
        <v>2025</v>
      </c>
      <c r="N125" s="2" t="str">
        <v>2025-02</v>
      </c>
      <c r="O125" s="1" t="str">
        <f t="shared" si="1"/>
        <v>Pending</v>
      </c>
    </row>
    <row r="126" spans="1:15" x14ac:dyDescent="0.35">
      <c r="A126" s="2" t="s">
        <v>178</v>
      </c>
      <c r="B126" s="3">
        <v>45711</v>
      </c>
      <c r="C126" s="2" t="s">
        <v>42</v>
      </c>
      <c r="D126" s="2" t="s">
        <v>20</v>
      </c>
      <c r="E126" s="4">
        <v>500</v>
      </c>
      <c r="F126" s="4">
        <v>1</v>
      </c>
      <c r="G126" s="4">
        <v>500</v>
      </c>
      <c r="H126" s="2" t="s">
        <v>21</v>
      </c>
      <c r="I126" s="2" t="s">
        <v>26</v>
      </c>
      <c r="J126" s="2" t="s">
        <v>27</v>
      </c>
      <c r="K126" s="2" t="s">
        <v>40</v>
      </c>
      <c r="L126">
        <v>2</v>
      </c>
      <c r="M126">
        <v>2025</v>
      </c>
      <c r="N126" s="2" t="str">
        <v>2025-02</v>
      </c>
      <c r="O126" s="1" t="str">
        <f t="shared" si="1"/>
        <v>Completed</v>
      </c>
    </row>
    <row r="127" spans="1:15" x14ac:dyDescent="0.35">
      <c r="A127" s="2" t="s">
        <v>179</v>
      </c>
      <c r="B127" s="3">
        <v>45692</v>
      </c>
      <c r="C127" s="2" t="s">
        <v>65</v>
      </c>
      <c r="D127" s="2" t="s">
        <v>61</v>
      </c>
      <c r="E127" s="4">
        <v>1200</v>
      </c>
      <c r="F127" s="4">
        <v>5</v>
      </c>
      <c r="G127" s="4">
        <v>6000</v>
      </c>
      <c r="H127" s="2" t="s">
        <v>29</v>
      </c>
      <c r="I127" s="2" t="s">
        <v>81</v>
      </c>
      <c r="J127" s="2" t="s">
        <v>58</v>
      </c>
      <c r="K127" s="2" t="s">
        <v>23</v>
      </c>
      <c r="L127">
        <v>2</v>
      </c>
      <c r="M127">
        <v>2025</v>
      </c>
      <c r="N127" s="2" t="str">
        <v>2025-02</v>
      </c>
      <c r="O127" s="1" t="str">
        <f t="shared" si="1"/>
        <v>Pending</v>
      </c>
    </row>
    <row r="128" spans="1:15" x14ac:dyDescent="0.35">
      <c r="A128" s="2" t="s">
        <v>180</v>
      </c>
      <c r="B128" s="3">
        <v>45706</v>
      </c>
      <c r="C128" s="2" t="s">
        <v>35</v>
      </c>
      <c r="D128" s="2" t="s">
        <v>36</v>
      </c>
      <c r="E128" s="4">
        <v>20</v>
      </c>
      <c r="F128" s="4">
        <v>3</v>
      </c>
      <c r="G128" s="4">
        <v>60</v>
      </c>
      <c r="H128" s="2" t="s">
        <v>14</v>
      </c>
      <c r="I128" s="2" t="s">
        <v>30</v>
      </c>
      <c r="J128" s="2" t="s">
        <v>16</v>
      </c>
      <c r="K128" s="2" t="s">
        <v>40</v>
      </c>
      <c r="L128">
        <v>2</v>
      </c>
      <c r="M128">
        <v>2025</v>
      </c>
      <c r="N128" s="2" t="str">
        <v>2025-02</v>
      </c>
      <c r="O128" s="1" t="str">
        <f t="shared" si="1"/>
        <v>Completed</v>
      </c>
    </row>
    <row r="129" spans="1:15" x14ac:dyDescent="0.35">
      <c r="A129" s="2" t="s">
        <v>181</v>
      </c>
      <c r="B129" s="3">
        <v>45739</v>
      </c>
      <c r="C129" s="2" t="s">
        <v>33</v>
      </c>
      <c r="D129" s="2" t="s">
        <v>20</v>
      </c>
      <c r="E129" s="4">
        <v>150</v>
      </c>
      <c r="F129" s="4">
        <v>2</v>
      </c>
      <c r="G129" s="4">
        <v>300</v>
      </c>
      <c r="H129" s="2" t="s">
        <v>21</v>
      </c>
      <c r="I129" s="2" t="s">
        <v>30</v>
      </c>
      <c r="J129" s="2" t="s">
        <v>39</v>
      </c>
      <c r="K129" s="2" t="s">
        <v>17</v>
      </c>
      <c r="L129">
        <v>3</v>
      </c>
      <c r="M129">
        <v>2025</v>
      </c>
      <c r="N129" s="2" t="str">
        <v>2025-03</v>
      </c>
      <c r="O129" s="1" t="str">
        <f t="shared" si="1"/>
        <v>Cancelled</v>
      </c>
    </row>
    <row r="130" spans="1:15" x14ac:dyDescent="0.35">
      <c r="A130" s="2" t="s">
        <v>182</v>
      </c>
      <c r="B130" s="3">
        <v>45714</v>
      </c>
      <c r="C130" s="2" t="s">
        <v>53</v>
      </c>
      <c r="D130" s="2" t="s">
        <v>36</v>
      </c>
      <c r="E130" s="4">
        <v>40</v>
      </c>
      <c r="F130" s="4">
        <v>5</v>
      </c>
      <c r="G130" s="4">
        <v>200</v>
      </c>
      <c r="H130" s="2" t="s">
        <v>21</v>
      </c>
      <c r="I130" s="2" t="s">
        <v>15</v>
      </c>
      <c r="J130" s="2" t="s">
        <v>16</v>
      </c>
      <c r="K130" s="2" t="s">
        <v>23</v>
      </c>
      <c r="L130">
        <v>2</v>
      </c>
      <c r="M130">
        <v>2025</v>
      </c>
      <c r="N130" s="2" t="str">
        <v>2025-02</v>
      </c>
      <c r="O130" s="1" t="str">
        <f t="shared" si="1"/>
        <v>Pending</v>
      </c>
    </row>
    <row r="131" spans="1:15" x14ac:dyDescent="0.35">
      <c r="A131" s="2" t="s">
        <v>183</v>
      </c>
      <c r="B131" s="3">
        <v>45698</v>
      </c>
      <c r="C131" s="2" t="s">
        <v>33</v>
      </c>
      <c r="D131" s="2" t="s">
        <v>20</v>
      </c>
      <c r="E131" s="4">
        <v>150</v>
      </c>
      <c r="F131" s="4">
        <v>5</v>
      </c>
      <c r="G131" s="4">
        <v>750</v>
      </c>
      <c r="H131" s="2" t="s">
        <v>51</v>
      </c>
      <c r="I131" s="2" t="s">
        <v>46</v>
      </c>
      <c r="J131" s="2" t="s">
        <v>39</v>
      </c>
      <c r="K131" s="2" t="s">
        <v>40</v>
      </c>
      <c r="L131">
        <v>2</v>
      </c>
      <c r="M131">
        <v>2025</v>
      </c>
      <c r="N131" s="2" t="str">
        <v>2025-02</v>
      </c>
      <c r="O131" s="1" t="str">
        <f t="shared" ref="O131:O194" si="2">IF(K131="Cancelled","Cancelled",IF(K131="Completed","Completed","Pending"))</f>
        <v>Completed</v>
      </c>
    </row>
    <row r="132" spans="1:15" x14ac:dyDescent="0.35">
      <c r="A132" s="2" t="s">
        <v>184</v>
      </c>
      <c r="B132" s="3">
        <v>45714</v>
      </c>
      <c r="C132" s="2" t="s">
        <v>53</v>
      </c>
      <c r="D132" s="2" t="s">
        <v>36</v>
      </c>
      <c r="E132" s="4">
        <v>40</v>
      </c>
      <c r="F132" s="4">
        <v>2</v>
      </c>
      <c r="G132" s="4">
        <v>80</v>
      </c>
      <c r="H132" s="2" t="s">
        <v>57</v>
      </c>
      <c r="I132" s="2" t="s">
        <v>81</v>
      </c>
      <c r="J132" s="2" t="s">
        <v>31</v>
      </c>
      <c r="K132" s="2" t="s">
        <v>23</v>
      </c>
      <c r="L132">
        <v>2</v>
      </c>
      <c r="M132">
        <v>2025</v>
      </c>
      <c r="N132" s="2" t="str">
        <v>2025-02</v>
      </c>
      <c r="O132" s="1" t="str">
        <f t="shared" si="2"/>
        <v>Pending</v>
      </c>
    </row>
    <row r="133" spans="1:15" x14ac:dyDescent="0.35">
      <c r="A133" s="2" t="s">
        <v>185</v>
      </c>
      <c r="B133" s="3">
        <v>45723</v>
      </c>
      <c r="C133" s="2" t="s">
        <v>42</v>
      </c>
      <c r="D133" s="2" t="s">
        <v>20</v>
      </c>
      <c r="E133" s="4">
        <v>500</v>
      </c>
      <c r="F133" s="4">
        <v>2</v>
      </c>
      <c r="G133" s="4">
        <v>1000</v>
      </c>
      <c r="H133" s="2" t="s">
        <v>29</v>
      </c>
      <c r="I133" s="2" t="s">
        <v>81</v>
      </c>
      <c r="J133" s="2" t="s">
        <v>16</v>
      </c>
      <c r="K133" s="2" t="s">
        <v>23</v>
      </c>
      <c r="L133">
        <v>3</v>
      </c>
      <c r="M133">
        <v>2025</v>
      </c>
      <c r="N133" s="2" t="str">
        <v>2025-03</v>
      </c>
      <c r="O133" s="1" t="str">
        <f t="shared" si="2"/>
        <v>Pending</v>
      </c>
    </row>
    <row r="134" spans="1:15" x14ac:dyDescent="0.35">
      <c r="A134" s="2" t="s">
        <v>186</v>
      </c>
      <c r="B134" s="3">
        <v>45711</v>
      </c>
      <c r="C134" s="2" t="s">
        <v>56</v>
      </c>
      <c r="D134" s="2" t="s">
        <v>20</v>
      </c>
      <c r="E134" s="4">
        <v>800</v>
      </c>
      <c r="F134" s="4">
        <v>1</v>
      </c>
      <c r="G134" s="4">
        <v>800</v>
      </c>
      <c r="H134" s="2" t="s">
        <v>21</v>
      </c>
      <c r="I134" s="2" t="s">
        <v>15</v>
      </c>
      <c r="J134" s="2" t="s">
        <v>27</v>
      </c>
      <c r="K134" s="2" t="s">
        <v>23</v>
      </c>
      <c r="L134">
        <v>2</v>
      </c>
      <c r="M134">
        <v>2025</v>
      </c>
      <c r="N134" s="2" t="str">
        <v>2025-02</v>
      </c>
      <c r="O134" s="1" t="str">
        <f t="shared" si="2"/>
        <v>Pending</v>
      </c>
    </row>
    <row r="135" spans="1:15" x14ac:dyDescent="0.35">
      <c r="A135" s="2" t="s">
        <v>187</v>
      </c>
      <c r="B135" s="3">
        <v>45695</v>
      </c>
      <c r="C135" s="2" t="s">
        <v>42</v>
      </c>
      <c r="D135" s="2" t="s">
        <v>20</v>
      </c>
      <c r="E135" s="4">
        <v>500</v>
      </c>
      <c r="F135" s="4">
        <v>5</v>
      </c>
      <c r="G135" s="4">
        <v>2500</v>
      </c>
      <c r="H135" s="2" t="s">
        <v>51</v>
      </c>
      <c r="I135" s="2" t="s">
        <v>81</v>
      </c>
      <c r="J135" s="2" t="s">
        <v>58</v>
      </c>
      <c r="K135" s="2" t="s">
        <v>23</v>
      </c>
      <c r="L135">
        <v>2</v>
      </c>
      <c r="M135">
        <v>2025</v>
      </c>
      <c r="N135" s="2" t="str">
        <v>2025-02</v>
      </c>
      <c r="O135" s="1" t="str">
        <f t="shared" si="2"/>
        <v>Pending</v>
      </c>
    </row>
    <row r="136" spans="1:15" x14ac:dyDescent="0.35">
      <c r="A136" s="2" t="s">
        <v>188</v>
      </c>
      <c r="B136" s="3">
        <v>45698</v>
      </c>
      <c r="C136" s="2" t="s">
        <v>35</v>
      </c>
      <c r="D136" s="2" t="s">
        <v>36</v>
      </c>
      <c r="E136" s="4">
        <v>20</v>
      </c>
      <c r="F136" s="4">
        <v>1</v>
      </c>
      <c r="G136" s="4">
        <v>20</v>
      </c>
      <c r="H136" s="2" t="s">
        <v>29</v>
      </c>
      <c r="I136" s="2" t="s">
        <v>44</v>
      </c>
      <c r="J136" s="2" t="s">
        <v>31</v>
      </c>
      <c r="K136" s="2" t="s">
        <v>23</v>
      </c>
      <c r="L136">
        <v>2</v>
      </c>
      <c r="M136">
        <v>2025</v>
      </c>
      <c r="N136" s="2" t="str">
        <v>2025-02</v>
      </c>
      <c r="O136" s="1" t="str">
        <f t="shared" si="2"/>
        <v>Pending</v>
      </c>
    </row>
    <row r="137" spans="1:15" x14ac:dyDescent="0.35">
      <c r="A137" s="2" t="s">
        <v>189</v>
      </c>
      <c r="B137" s="3">
        <v>45699</v>
      </c>
      <c r="C137" s="2" t="s">
        <v>65</v>
      </c>
      <c r="D137" s="2" t="s">
        <v>61</v>
      </c>
      <c r="E137" s="4">
        <v>1200</v>
      </c>
      <c r="F137" s="4">
        <v>2</v>
      </c>
      <c r="G137" s="4">
        <v>2400</v>
      </c>
      <c r="H137" s="2" t="s">
        <v>57</v>
      </c>
      <c r="I137" s="2" t="s">
        <v>22</v>
      </c>
      <c r="J137" s="2" t="s">
        <v>39</v>
      </c>
      <c r="K137" s="2" t="s">
        <v>17</v>
      </c>
      <c r="L137">
        <v>2</v>
      </c>
      <c r="M137">
        <v>2025</v>
      </c>
      <c r="N137" s="2" t="str">
        <v>2025-02</v>
      </c>
      <c r="O137" s="1" t="str">
        <f t="shared" si="2"/>
        <v>Cancelled</v>
      </c>
    </row>
    <row r="138" spans="1:15" x14ac:dyDescent="0.35">
      <c r="A138" s="2" t="s">
        <v>190</v>
      </c>
      <c r="B138" s="3">
        <v>45736</v>
      </c>
      <c r="C138" s="2" t="s">
        <v>33</v>
      </c>
      <c r="D138" s="2" t="s">
        <v>20</v>
      </c>
      <c r="E138" s="4">
        <v>150</v>
      </c>
      <c r="F138" s="4">
        <v>3</v>
      </c>
      <c r="G138" s="4">
        <v>450</v>
      </c>
      <c r="H138" s="2" t="s">
        <v>43</v>
      </c>
      <c r="I138" s="2" t="s">
        <v>22</v>
      </c>
      <c r="J138" s="2" t="s">
        <v>16</v>
      </c>
      <c r="K138" s="2" t="s">
        <v>40</v>
      </c>
      <c r="L138">
        <v>3</v>
      </c>
      <c r="M138">
        <v>2025</v>
      </c>
      <c r="N138" s="2" t="str">
        <v>2025-03</v>
      </c>
      <c r="O138" s="1" t="str">
        <f t="shared" si="2"/>
        <v>Completed</v>
      </c>
    </row>
    <row r="139" spans="1:15" x14ac:dyDescent="0.35">
      <c r="A139" s="2" t="s">
        <v>191</v>
      </c>
      <c r="B139" s="3">
        <v>45699</v>
      </c>
      <c r="C139" s="2" t="s">
        <v>33</v>
      </c>
      <c r="D139" s="2" t="s">
        <v>20</v>
      </c>
      <c r="E139" s="4">
        <v>150</v>
      </c>
      <c r="F139" s="4">
        <v>5</v>
      </c>
      <c r="G139" s="4">
        <v>750</v>
      </c>
      <c r="H139" s="2" t="s">
        <v>25</v>
      </c>
      <c r="I139" s="2" t="s">
        <v>68</v>
      </c>
      <c r="J139" s="2" t="s">
        <v>31</v>
      </c>
      <c r="K139" s="2" t="s">
        <v>17</v>
      </c>
      <c r="L139">
        <v>2</v>
      </c>
      <c r="M139">
        <v>2025</v>
      </c>
      <c r="N139" s="2" t="str">
        <v>2025-02</v>
      </c>
      <c r="O139" s="1" t="str">
        <f t="shared" si="2"/>
        <v>Cancelled</v>
      </c>
    </row>
    <row r="140" spans="1:15" x14ac:dyDescent="0.35">
      <c r="A140" s="2" t="s">
        <v>192</v>
      </c>
      <c r="B140" s="3">
        <v>45734</v>
      </c>
      <c r="C140" s="2" t="s">
        <v>56</v>
      </c>
      <c r="D140" s="2" t="s">
        <v>20</v>
      </c>
      <c r="E140" s="4">
        <v>800</v>
      </c>
      <c r="F140" s="4">
        <v>2</v>
      </c>
      <c r="G140" s="4">
        <v>1600</v>
      </c>
      <c r="H140" s="2" t="s">
        <v>54</v>
      </c>
      <c r="I140" s="2" t="s">
        <v>26</v>
      </c>
      <c r="J140" s="2" t="s">
        <v>39</v>
      </c>
      <c r="K140" s="2" t="s">
        <v>17</v>
      </c>
      <c r="L140">
        <v>3</v>
      </c>
      <c r="M140">
        <v>2025</v>
      </c>
      <c r="N140" s="2" t="str">
        <v>2025-03</v>
      </c>
      <c r="O140" s="1" t="str">
        <f t="shared" si="2"/>
        <v>Cancelled</v>
      </c>
    </row>
    <row r="141" spans="1:15" x14ac:dyDescent="0.35">
      <c r="A141" s="2" t="s">
        <v>193</v>
      </c>
      <c r="B141" s="3">
        <v>45735</v>
      </c>
      <c r="C141" s="2" t="s">
        <v>33</v>
      </c>
      <c r="D141" s="2" t="s">
        <v>20</v>
      </c>
      <c r="E141" s="4">
        <v>150</v>
      </c>
      <c r="F141" s="4">
        <v>2</v>
      </c>
      <c r="G141" s="4">
        <v>300</v>
      </c>
      <c r="H141" s="2" t="s">
        <v>29</v>
      </c>
      <c r="I141" s="2" t="s">
        <v>44</v>
      </c>
      <c r="J141" s="2" t="s">
        <v>16</v>
      </c>
      <c r="K141" s="2" t="s">
        <v>40</v>
      </c>
      <c r="L141">
        <v>3</v>
      </c>
      <c r="M141">
        <v>2025</v>
      </c>
      <c r="N141" s="2" t="str">
        <v>2025-03</v>
      </c>
      <c r="O141" s="1" t="str">
        <f t="shared" si="2"/>
        <v>Completed</v>
      </c>
    </row>
    <row r="142" spans="1:15" x14ac:dyDescent="0.35">
      <c r="A142" s="2" t="s">
        <v>194</v>
      </c>
      <c r="B142" s="3">
        <v>45737</v>
      </c>
      <c r="C142" s="2" t="s">
        <v>42</v>
      </c>
      <c r="D142" s="2" t="s">
        <v>20</v>
      </c>
      <c r="E142" s="4">
        <v>500</v>
      </c>
      <c r="F142" s="4">
        <v>2</v>
      </c>
      <c r="G142" s="4">
        <v>1000</v>
      </c>
      <c r="H142" s="2" t="s">
        <v>25</v>
      </c>
      <c r="I142" s="2" t="s">
        <v>44</v>
      </c>
      <c r="J142" s="2" t="s">
        <v>39</v>
      </c>
      <c r="K142" s="2" t="s">
        <v>40</v>
      </c>
      <c r="L142">
        <v>3</v>
      </c>
      <c r="M142">
        <v>2025</v>
      </c>
      <c r="N142" s="2" t="str">
        <v>2025-03</v>
      </c>
      <c r="O142" s="1" t="str">
        <f t="shared" si="2"/>
        <v>Completed</v>
      </c>
    </row>
    <row r="143" spans="1:15" x14ac:dyDescent="0.35">
      <c r="A143" s="2" t="s">
        <v>195</v>
      </c>
      <c r="B143" s="3">
        <v>45731</v>
      </c>
      <c r="C143" s="2" t="s">
        <v>42</v>
      </c>
      <c r="D143" s="2" t="s">
        <v>20</v>
      </c>
      <c r="E143" s="4">
        <v>500</v>
      </c>
      <c r="F143" s="4">
        <v>3</v>
      </c>
      <c r="G143" s="4">
        <v>1500</v>
      </c>
      <c r="H143" s="2" t="s">
        <v>43</v>
      </c>
      <c r="I143" s="2" t="s">
        <v>44</v>
      </c>
      <c r="J143" s="2" t="s">
        <v>58</v>
      </c>
      <c r="K143" s="2" t="s">
        <v>40</v>
      </c>
      <c r="L143">
        <v>3</v>
      </c>
      <c r="M143">
        <v>2025</v>
      </c>
      <c r="N143" s="2" t="str">
        <v>2025-03</v>
      </c>
      <c r="O143" s="1" t="str">
        <f t="shared" si="2"/>
        <v>Completed</v>
      </c>
    </row>
    <row r="144" spans="1:15" x14ac:dyDescent="0.35">
      <c r="A144" s="2" t="s">
        <v>196</v>
      </c>
      <c r="B144" s="3">
        <v>45747</v>
      </c>
      <c r="C144" s="2" t="s">
        <v>65</v>
      </c>
      <c r="D144" s="2" t="s">
        <v>61</v>
      </c>
      <c r="E144" s="4">
        <v>1200</v>
      </c>
      <c r="F144" s="4">
        <v>2</v>
      </c>
      <c r="G144" s="4">
        <v>2400</v>
      </c>
      <c r="H144" s="2" t="s">
        <v>80</v>
      </c>
      <c r="I144" s="2" t="s">
        <v>30</v>
      </c>
      <c r="J144" s="2" t="s">
        <v>39</v>
      </c>
      <c r="K144" s="2" t="s">
        <v>17</v>
      </c>
      <c r="L144">
        <v>3</v>
      </c>
      <c r="M144">
        <v>2025</v>
      </c>
      <c r="N144" s="2" t="str">
        <v>2025-03</v>
      </c>
      <c r="O144" s="1" t="str">
        <f t="shared" si="2"/>
        <v>Cancelled</v>
      </c>
    </row>
    <row r="145" spans="1:15" x14ac:dyDescent="0.35">
      <c r="A145" s="2" t="s">
        <v>197</v>
      </c>
      <c r="B145" s="3">
        <v>45715</v>
      </c>
      <c r="C145" s="2" t="s">
        <v>53</v>
      </c>
      <c r="D145" s="2" t="s">
        <v>36</v>
      </c>
      <c r="E145" s="4">
        <v>40</v>
      </c>
      <c r="F145" s="4">
        <v>2</v>
      </c>
      <c r="G145" s="4">
        <v>80</v>
      </c>
      <c r="H145" s="2" t="s">
        <v>54</v>
      </c>
      <c r="I145" s="2" t="s">
        <v>68</v>
      </c>
      <c r="J145" s="2" t="s">
        <v>58</v>
      </c>
      <c r="K145" s="2" t="s">
        <v>17</v>
      </c>
      <c r="L145">
        <v>2</v>
      </c>
      <c r="M145">
        <v>2025</v>
      </c>
      <c r="N145" s="2" t="str">
        <v>2025-02</v>
      </c>
      <c r="O145" s="1" t="str">
        <f t="shared" si="2"/>
        <v>Cancelled</v>
      </c>
    </row>
    <row r="146" spans="1:15" x14ac:dyDescent="0.35">
      <c r="A146" s="2" t="s">
        <v>198</v>
      </c>
      <c r="B146" s="3">
        <v>45724</v>
      </c>
      <c r="C146" s="2" t="s">
        <v>33</v>
      </c>
      <c r="D146" s="2" t="s">
        <v>20</v>
      </c>
      <c r="E146" s="4">
        <v>150</v>
      </c>
      <c r="F146" s="4">
        <v>2</v>
      </c>
      <c r="G146" s="4">
        <v>300</v>
      </c>
      <c r="H146" s="2" t="s">
        <v>54</v>
      </c>
      <c r="I146" s="2" t="s">
        <v>63</v>
      </c>
      <c r="J146" s="2" t="s">
        <v>16</v>
      </c>
      <c r="K146" s="2" t="s">
        <v>17</v>
      </c>
      <c r="L146">
        <v>3</v>
      </c>
      <c r="M146">
        <v>2025</v>
      </c>
      <c r="N146" s="2" t="str">
        <v>2025-03</v>
      </c>
      <c r="O146" s="1" t="str">
        <f t="shared" si="2"/>
        <v>Cancelled</v>
      </c>
    </row>
    <row r="147" spans="1:15" x14ac:dyDescent="0.35">
      <c r="A147" s="2" t="s">
        <v>199</v>
      </c>
      <c r="B147" s="3">
        <v>45741</v>
      </c>
      <c r="C147" s="2" t="s">
        <v>33</v>
      </c>
      <c r="D147" s="2" t="s">
        <v>20</v>
      </c>
      <c r="E147" s="4">
        <v>150</v>
      </c>
      <c r="F147" s="4">
        <v>2</v>
      </c>
      <c r="G147" s="4">
        <v>300</v>
      </c>
      <c r="H147" s="2" t="s">
        <v>14</v>
      </c>
      <c r="I147" s="2" t="s">
        <v>46</v>
      </c>
      <c r="J147" s="2" t="s">
        <v>16</v>
      </c>
      <c r="K147" s="2" t="s">
        <v>40</v>
      </c>
      <c r="L147">
        <v>3</v>
      </c>
      <c r="M147">
        <v>2025</v>
      </c>
      <c r="N147" s="2" t="str">
        <v>2025-03</v>
      </c>
      <c r="O147" s="1" t="str">
        <f t="shared" si="2"/>
        <v>Completed</v>
      </c>
    </row>
    <row r="148" spans="1:15" x14ac:dyDescent="0.35">
      <c r="A148" s="2" t="s">
        <v>200</v>
      </c>
      <c r="B148" s="3">
        <v>45693</v>
      </c>
      <c r="C148" s="2" t="s">
        <v>12</v>
      </c>
      <c r="D148" s="2" t="s">
        <v>13</v>
      </c>
      <c r="E148" s="4">
        <v>60</v>
      </c>
      <c r="F148" s="4">
        <v>5</v>
      </c>
      <c r="G148" s="4">
        <v>300</v>
      </c>
      <c r="H148" s="2" t="s">
        <v>80</v>
      </c>
      <c r="I148" s="2" t="s">
        <v>30</v>
      </c>
      <c r="J148" s="2" t="s">
        <v>39</v>
      </c>
      <c r="K148" s="2" t="s">
        <v>23</v>
      </c>
      <c r="L148">
        <v>2</v>
      </c>
      <c r="M148">
        <v>2025</v>
      </c>
      <c r="N148" s="2" t="str">
        <v>2025-02</v>
      </c>
      <c r="O148" s="1" t="str">
        <f t="shared" si="2"/>
        <v>Pending</v>
      </c>
    </row>
    <row r="149" spans="1:15" x14ac:dyDescent="0.35">
      <c r="A149" s="2" t="s">
        <v>201</v>
      </c>
      <c r="B149" s="3">
        <v>45694</v>
      </c>
      <c r="C149" s="2" t="s">
        <v>19</v>
      </c>
      <c r="D149" s="2" t="s">
        <v>20</v>
      </c>
      <c r="E149" s="4">
        <v>100</v>
      </c>
      <c r="F149" s="4">
        <v>4</v>
      </c>
      <c r="G149" s="4">
        <v>400</v>
      </c>
      <c r="H149" s="2" t="s">
        <v>21</v>
      </c>
      <c r="I149" s="2" t="s">
        <v>68</v>
      </c>
      <c r="J149" s="2" t="s">
        <v>27</v>
      </c>
      <c r="K149" s="2" t="s">
        <v>17</v>
      </c>
      <c r="L149">
        <v>2</v>
      </c>
      <c r="M149">
        <v>2025</v>
      </c>
      <c r="N149" s="2" t="str">
        <v>2025-02</v>
      </c>
      <c r="O149" s="1" t="str">
        <f t="shared" si="2"/>
        <v>Cancelled</v>
      </c>
    </row>
    <row r="150" spans="1:15" x14ac:dyDescent="0.35">
      <c r="A150" s="2" t="s">
        <v>202</v>
      </c>
      <c r="B150" s="3">
        <v>45736</v>
      </c>
      <c r="C150" s="2" t="s">
        <v>12</v>
      </c>
      <c r="D150" s="2" t="s">
        <v>13</v>
      </c>
      <c r="E150" s="4">
        <v>60</v>
      </c>
      <c r="F150" s="4">
        <v>3</v>
      </c>
      <c r="G150" s="4">
        <v>180</v>
      </c>
      <c r="H150" s="2" t="s">
        <v>54</v>
      </c>
      <c r="I150" s="2" t="s">
        <v>15</v>
      </c>
      <c r="J150" s="2" t="s">
        <v>58</v>
      </c>
      <c r="K150" s="2" t="s">
        <v>23</v>
      </c>
      <c r="L150">
        <v>3</v>
      </c>
      <c r="M150">
        <v>2025</v>
      </c>
      <c r="N150" s="2" t="str">
        <v>2025-03</v>
      </c>
      <c r="O150" s="1" t="str">
        <f t="shared" si="2"/>
        <v>Pending</v>
      </c>
    </row>
    <row r="151" spans="1:15" x14ac:dyDescent="0.35">
      <c r="A151" s="2" t="s">
        <v>203</v>
      </c>
      <c r="B151" s="3">
        <v>45696</v>
      </c>
      <c r="C151" s="2" t="s">
        <v>49</v>
      </c>
      <c r="D151" s="2" t="s">
        <v>50</v>
      </c>
      <c r="E151" s="4">
        <v>15</v>
      </c>
      <c r="F151" s="4">
        <v>4</v>
      </c>
      <c r="G151" s="4">
        <v>60</v>
      </c>
      <c r="H151" s="2" t="s">
        <v>57</v>
      </c>
      <c r="I151" s="2" t="s">
        <v>81</v>
      </c>
      <c r="J151" s="2" t="s">
        <v>58</v>
      </c>
      <c r="K151" s="2" t="s">
        <v>17</v>
      </c>
      <c r="L151">
        <v>2</v>
      </c>
      <c r="M151">
        <v>2025</v>
      </c>
      <c r="N151" s="2" t="str">
        <v>2025-02</v>
      </c>
      <c r="O151" s="1" t="str">
        <f t="shared" si="2"/>
        <v>Cancelled</v>
      </c>
    </row>
    <row r="152" spans="1:15" x14ac:dyDescent="0.35">
      <c r="A152" s="2" t="s">
        <v>204</v>
      </c>
      <c r="B152" s="3">
        <v>45745</v>
      </c>
      <c r="C152" s="2" t="s">
        <v>60</v>
      </c>
      <c r="D152" s="2" t="s">
        <v>61</v>
      </c>
      <c r="E152" s="4">
        <v>600</v>
      </c>
      <c r="F152" s="4">
        <v>4</v>
      </c>
      <c r="G152" s="4">
        <v>2400</v>
      </c>
      <c r="H152" s="2" t="s">
        <v>80</v>
      </c>
      <c r="I152" s="2" t="s">
        <v>68</v>
      </c>
      <c r="J152" s="2" t="s">
        <v>27</v>
      </c>
      <c r="K152" s="2" t="s">
        <v>23</v>
      </c>
      <c r="L152">
        <v>3</v>
      </c>
      <c r="M152">
        <v>2025</v>
      </c>
      <c r="N152" s="2" t="str">
        <v>2025-03</v>
      </c>
      <c r="O152" s="1" t="str">
        <f t="shared" si="2"/>
        <v>Pending</v>
      </c>
    </row>
    <row r="153" spans="1:15" x14ac:dyDescent="0.35">
      <c r="A153" s="2" t="s">
        <v>205</v>
      </c>
      <c r="B153" s="3">
        <v>45716</v>
      </c>
      <c r="C153" s="2" t="s">
        <v>33</v>
      </c>
      <c r="D153" s="2" t="s">
        <v>20</v>
      </c>
      <c r="E153" s="4">
        <v>150</v>
      </c>
      <c r="F153" s="4">
        <v>1</v>
      </c>
      <c r="G153" s="4">
        <v>150</v>
      </c>
      <c r="H153" s="2" t="s">
        <v>25</v>
      </c>
      <c r="I153" s="2" t="s">
        <v>63</v>
      </c>
      <c r="J153" s="2" t="s">
        <v>58</v>
      </c>
      <c r="K153" s="2" t="s">
        <v>40</v>
      </c>
      <c r="L153">
        <v>2</v>
      </c>
      <c r="M153">
        <v>2025</v>
      </c>
      <c r="N153" s="2" t="str">
        <v>2025-02</v>
      </c>
      <c r="O153" s="1" t="str">
        <f t="shared" si="2"/>
        <v>Completed</v>
      </c>
    </row>
    <row r="154" spans="1:15" x14ac:dyDescent="0.35">
      <c r="A154" s="2" t="s">
        <v>206</v>
      </c>
      <c r="B154" s="3">
        <v>45711</v>
      </c>
      <c r="C154" s="2" t="s">
        <v>33</v>
      </c>
      <c r="D154" s="2" t="s">
        <v>20</v>
      </c>
      <c r="E154" s="4">
        <v>150</v>
      </c>
      <c r="F154" s="4">
        <v>5</v>
      </c>
      <c r="G154" s="4">
        <v>750</v>
      </c>
      <c r="H154" s="2" t="s">
        <v>43</v>
      </c>
      <c r="I154" s="2" t="s">
        <v>22</v>
      </c>
      <c r="J154" s="2" t="s">
        <v>39</v>
      </c>
      <c r="K154" s="2" t="s">
        <v>23</v>
      </c>
      <c r="L154">
        <v>2</v>
      </c>
      <c r="M154">
        <v>2025</v>
      </c>
      <c r="N154" s="2" t="str">
        <v>2025-02</v>
      </c>
      <c r="O154" s="1" t="str">
        <f t="shared" si="2"/>
        <v>Pending</v>
      </c>
    </row>
    <row r="155" spans="1:15" x14ac:dyDescent="0.35">
      <c r="A155" s="2" t="s">
        <v>207</v>
      </c>
      <c r="B155" s="3">
        <v>45717</v>
      </c>
      <c r="C155" s="2" t="s">
        <v>19</v>
      </c>
      <c r="D155" s="2" t="s">
        <v>20</v>
      </c>
      <c r="E155" s="4">
        <v>100</v>
      </c>
      <c r="F155" s="4">
        <v>2</v>
      </c>
      <c r="G155" s="4">
        <v>200</v>
      </c>
      <c r="H155" s="2" t="s">
        <v>25</v>
      </c>
      <c r="I155" s="2" t="s">
        <v>26</v>
      </c>
      <c r="J155" s="2" t="s">
        <v>16</v>
      </c>
      <c r="K155" s="2" t="s">
        <v>40</v>
      </c>
      <c r="L155">
        <v>3</v>
      </c>
      <c r="M155">
        <v>2025</v>
      </c>
      <c r="N155" s="2" t="str">
        <v>2025-03</v>
      </c>
      <c r="O155" s="1" t="str">
        <f t="shared" si="2"/>
        <v>Completed</v>
      </c>
    </row>
    <row r="156" spans="1:15" x14ac:dyDescent="0.35">
      <c r="A156" s="2" t="s">
        <v>208</v>
      </c>
      <c r="B156" s="3">
        <v>45693</v>
      </c>
      <c r="C156" s="2" t="s">
        <v>65</v>
      </c>
      <c r="D156" s="2" t="s">
        <v>61</v>
      </c>
      <c r="E156" s="4">
        <v>1200</v>
      </c>
      <c r="F156" s="4">
        <v>4</v>
      </c>
      <c r="G156" s="4">
        <v>4800</v>
      </c>
      <c r="H156" s="2" t="s">
        <v>43</v>
      </c>
      <c r="I156" s="2" t="s">
        <v>63</v>
      </c>
      <c r="J156" s="2" t="s">
        <v>31</v>
      </c>
      <c r="K156" s="2" t="s">
        <v>23</v>
      </c>
      <c r="L156">
        <v>2</v>
      </c>
      <c r="M156">
        <v>2025</v>
      </c>
      <c r="N156" s="2" t="str">
        <v>2025-02</v>
      </c>
      <c r="O156" s="1" t="str">
        <f t="shared" si="2"/>
        <v>Pending</v>
      </c>
    </row>
    <row r="157" spans="1:15" x14ac:dyDescent="0.35">
      <c r="A157" s="2" t="s">
        <v>209</v>
      </c>
      <c r="B157" s="3">
        <v>45732</v>
      </c>
      <c r="C157" s="2" t="s">
        <v>33</v>
      </c>
      <c r="D157" s="2" t="s">
        <v>20</v>
      </c>
      <c r="E157" s="4">
        <v>150</v>
      </c>
      <c r="F157" s="4">
        <v>4</v>
      </c>
      <c r="G157" s="4">
        <v>600</v>
      </c>
      <c r="H157" s="2" t="s">
        <v>29</v>
      </c>
      <c r="I157" s="2" t="s">
        <v>44</v>
      </c>
      <c r="J157" s="2" t="s">
        <v>39</v>
      </c>
      <c r="K157" s="2" t="s">
        <v>17</v>
      </c>
      <c r="L157">
        <v>3</v>
      </c>
      <c r="M157">
        <v>2025</v>
      </c>
      <c r="N157" s="2" t="str">
        <v>2025-03</v>
      </c>
      <c r="O157" s="1" t="str">
        <f t="shared" si="2"/>
        <v>Cancelled</v>
      </c>
    </row>
    <row r="158" spans="1:15" x14ac:dyDescent="0.35">
      <c r="A158" s="2" t="s">
        <v>210</v>
      </c>
      <c r="B158" s="3">
        <v>45696</v>
      </c>
      <c r="C158" s="2" t="s">
        <v>42</v>
      </c>
      <c r="D158" s="2" t="s">
        <v>20</v>
      </c>
      <c r="E158" s="4">
        <v>500</v>
      </c>
      <c r="F158" s="4">
        <v>3</v>
      </c>
      <c r="G158" s="4">
        <v>1500</v>
      </c>
      <c r="H158" s="2" t="s">
        <v>43</v>
      </c>
      <c r="I158" s="2" t="s">
        <v>26</v>
      </c>
      <c r="J158" s="2" t="s">
        <v>31</v>
      </c>
      <c r="K158" s="2" t="s">
        <v>23</v>
      </c>
      <c r="L158">
        <v>2</v>
      </c>
      <c r="M158">
        <v>2025</v>
      </c>
      <c r="N158" s="2" t="str">
        <v>2025-02</v>
      </c>
      <c r="O158" s="1" t="str">
        <f t="shared" si="2"/>
        <v>Pending</v>
      </c>
    </row>
    <row r="159" spans="1:15" x14ac:dyDescent="0.35">
      <c r="A159" s="2" t="s">
        <v>211</v>
      </c>
      <c r="B159" s="3">
        <v>45712</v>
      </c>
      <c r="C159" s="2" t="s">
        <v>56</v>
      </c>
      <c r="D159" s="2" t="s">
        <v>20</v>
      </c>
      <c r="E159" s="4">
        <v>800</v>
      </c>
      <c r="F159" s="4">
        <v>3</v>
      </c>
      <c r="G159" s="4">
        <v>2400</v>
      </c>
      <c r="H159" s="2" t="s">
        <v>72</v>
      </c>
      <c r="I159" s="2" t="s">
        <v>44</v>
      </c>
      <c r="J159" s="2" t="s">
        <v>16</v>
      </c>
      <c r="K159" s="2" t="s">
        <v>23</v>
      </c>
      <c r="L159">
        <v>2</v>
      </c>
      <c r="M159">
        <v>2025</v>
      </c>
      <c r="N159" s="2" t="str">
        <v>2025-02</v>
      </c>
      <c r="O159" s="1" t="str">
        <f t="shared" si="2"/>
        <v>Pending</v>
      </c>
    </row>
    <row r="160" spans="1:15" x14ac:dyDescent="0.35">
      <c r="A160" s="2" t="s">
        <v>212</v>
      </c>
      <c r="B160" s="3">
        <v>45704</v>
      </c>
      <c r="C160" s="2" t="s">
        <v>35</v>
      </c>
      <c r="D160" s="2" t="s">
        <v>36</v>
      </c>
      <c r="E160" s="4">
        <v>20</v>
      </c>
      <c r="F160" s="4">
        <v>2</v>
      </c>
      <c r="G160" s="4">
        <v>40</v>
      </c>
      <c r="H160" s="2" t="s">
        <v>51</v>
      </c>
      <c r="I160" s="2" t="s">
        <v>30</v>
      </c>
      <c r="J160" s="2" t="s">
        <v>58</v>
      </c>
      <c r="K160" s="2" t="s">
        <v>17</v>
      </c>
      <c r="L160">
        <v>2</v>
      </c>
      <c r="M160">
        <v>2025</v>
      </c>
      <c r="N160" s="2" t="str">
        <v>2025-02</v>
      </c>
      <c r="O160" s="1" t="str">
        <f t="shared" si="2"/>
        <v>Cancelled</v>
      </c>
    </row>
    <row r="161" spans="1:15" x14ac:dyDescent="0.35">
      <c r="A161" s="2" t="s">
        <v>213</v>
      </c>
      <c r="B161" s="3">
        <v>45694</v>
      </c>
      <c r="C161" s="2" t="s">
        <v>60</v>
      </c>
      <c r="D161" s="2" t="s">
        <v>61</v>
      </c>
      <c r="E161" s="4">
        <v>600</v>
      </c>
      <c r="F161" s="4">
        <v>3</v>
      </c>
      <c r="G161" s="4">
        <v>1800</v>
      </c>
      <c r="H161" s="2" t="s">
        <v>29</v>
      </c>
      <c r="I161" s="2" t="s">
        <v>26</v>
      </c>
      <c r="J161" s="2" t="s">
        <v>58</v>
      </c>
      <c r="K161" s="2" t="s">
        <v>17</v>
      </c>
      <c r="L161">
        <v>2</v>
      </c>
      <c r="M161">
        <v>2025</v>
      </c>
      <c r="N161" s="2" t="str">
        <v>2025-02</v>
      </c>
      <c r="O161" s="1" t="str">
        <f t="shared" si="2"/>
        <v>Cancelled</v>
      </c>
    </row>
    <row r="162" spans="1:15" x14ac:dyDescent="0.35">
      <c r="A162" s="2" t="s">
        <v>214</v>
      </c>
      <c r="B162" s="3">
        <v>45710</v>
      </c>
      <c r="C162" s="2" t="s">
        <v>19</v>
      </c>
      <c r="D162" s="2" t="s">
        <v>20</v>
      </c>
      <c r="E162" s="4">
        <v>100</v>
      </c>
      <c r="F162" s="4">
        <v>1</v>
      </c>
      <c r="G162" s="4">
        <v>100</v>
      </c>
      <c r="H162" s="2" t="s">
        <v>21</v>
      </c>
      <c r="I162" s="2" t="s">
        <v>68</v>
      </c>
      <c r="J162" s="2" t="s">
        <v>31</v>
      </c>
      <c r="K162" s="2" t="s">
        <v>40</v>
      </c>
      <c r="L162">
        <v>2</v>
      </c>
      <c r="M162">
        <v>2025</v>
      </c>
      <c r="N162" s="2" t="str">
        <v>2025-02</v>
      </c>
      <c r="O162" s="1" t="str">
        <f t="shared" si="2"/>
        <v>Completed</v>
      </c>
    </row>
    <row r="163" spans="1:15" x14ac:dyDescent="0.35">
      <c r="A163" s="2" t="s">
        <v>215</v>
      </c>
      <c r="B163" s="3">
        <v>45697</v>
      </c>
      <c r="C163" s="2" t="s">
        <v>42</v>
      </c>
      <c r="D163" s="2" t="s">
        <v>20</v>
      </c>
      <c r="E163" s="4">
        <v>500</v>
      </c>
      <c r="F163" s="4">
        <v>2</v>
      </c>
      <c r="G163" s="4">
        <v>1000</v>
      </c>
      <c r="H163" s="2" t="s">
        <v>29</v>
      </c>
      <c r="I163" s="2" t="s">
        <v>81</v>
      </c>
      <c r="J163" s="2" t="s">
        <v>31</v>
      </c>
      <c r="K163" s="2" t="s">
        <v>40</v>
      </c>
      <c r="L163">
        <v>2</v>
      </c>
      <c r="M163">
        <v>2025</v>
      </c>
      <c r="N163" s="2" t="str">
        <v>2025-02</v>
      </c>
      <c r="O163" s="1" t="str">
        <f t="shared" si="2"/>
        <v>Completed</v>
      </c>
    </row>
    <row r="164" spans="1:15" x14ac:dyDescent="0.35">
      <c r="A164" s="2" t="s">
        <v>216</v>
      </c>
      <c r="B164" s="3">
        <v>45708</v>
      </c>
      <c r="C164" s="2" t="s">
        <v>12</v>
      </c>
      <c r="D164" s="2" t="s">
        <v>13</v>
      </c>
      <c r="E164" s="4">
        <v>60</v>
      </c>
      <c r="F164" s="4">
        <v>2</v>
      </c>
      <c r="G164" s="4">
        <v>120</v>
      </c>
      <c r="H164" s="2" t="s">
        <v>72</v>
      </c>
      <c r="I164" s="2" t="s">
        <v>38</v>
      </c>
      <c r="J164" s="2" t="s">
        <v>39</v>
      </c>
      <c r="K164" s="2" t="s">
        <v>40</v>
      </c>
      <c r="L164">
        <v>2</v>
      </c>
      <c r="M164">
        <v>2025</v>
      </c>
      <c r="N164" s="2" t="str">
        <v>2025-02</v>
      </c>
      <c r="O164" s="1" t="str">
        <f t="shared" si="2"/>
        <v>Completed</v>
      </c>
    </row>
    <row r="165" spans="1:15" x14ac:dyDescent="0.35">
      <c r="A165" s="2" t="s">
        <v>217</v>
      </c>
      <c r="B165" s="3">
        <v>45713</v>
      </c>
      <c r="C165" s="2" t="s">
        <v>33</v>
      </c>
      <c r="D165" s="2" t="s">
        <v>20</v>
      </c>
      <c r="E165" s="4">
        <v>150</v>
      </c>
      <c r="F165" s="4">
        <v>5</v>
      </c>
      <c r="G165" s="4">
        <v>750</v>
      </c>
      <c r="H165" s="2" t="s">
        <v>54</v>
      </c>
      <c r="I165" s="2" t="s">
        <v>46</v>
      </c>
      <c r="J165" s="2" t="s">
        <v>16</v>
      </c>
      <c r="K165" s="2" t="s">
        <v>23</v>
      </c>
      <c r="L165">
        <v>2</v>
      </c>
      <c r="M165">
        <v>2025</v>
      </c>
      <c r="N165" s="2" t="str">
        <v>2025-02</v>
      </c>
      <c r="O165" s="1" t="str">
        <f t="shared" si="2"/>
        <v>Pending</v>
      </c>
    </row>
    <row r="166" spans="1:15" x14ac:dyDescent="0.35">
      <c r="A166" s="2" t="s">
        <v>218</v>
      </c>
      <c r="B166" s="3">
        <v>45730</v>
      </c>
      <c r="C166" s="2" t="s">
        <v>49</v>
      </c>
      <c r="D166" s="2" t="s">
        <v>50</v>
      </c>
      <c r="E166" s="4">
        <v>15</v>
      </c>
      <c r="F166" s="4">
        <v>1</v>
      </c>
      <c r="G166" s="4">
        <v>15</v>
      </c>
      <c r="H166" s="2" t="s">
        <v>51</v>
      </c>
      <c r="I166" s="2" t="s">
        <v>15</v>
      </c>
      <c r="J166" s="2" t="s">
        <v>27</v>
      </c>
      <c r="K166" s="2" t="s">
        <v>23</v>
      </c>
      <c r="L166">
        <v>3</v>
      </c>
      <c r="M166">
        <v>2025</v>
      </c>
      <c r="N166" s="2" t="str">
        <v>2025-03</v>
      </c>
      <c r="O166" s="1" t="str">
        <f t="shared" si="2"/>
        <v>Pending</v>
      </c>
    </row>
    <row r="167" spans="1:15" x14ac:dyDescent="0.35">
      <c r="A167" s="2" t="s">
        <v>219</v>
      </c>
      <c r="B167" s="3">
        <v>45746</v>
      </c>
      <c r="C167" s="2" t="s">
        <v>60</v>
      </c>
      <c r="D167" s="2" t="s">
        <v>61</v>
      </c>
      <c r="E167" s="4">
        <v>600</v>
      </c>
      <c r="F167" s="4">
        <v>4</v>
      </c>
      <c r="G167" s="4">
        <v>2400</v>
      </c>
      <c r="H167" s="2" t="s">
        <v>72</v>
      </c>
      <c r="I167" s="2" t="s">
        <v>38</v>
      </c>
      <c r="J167" s="2" t="s">
        <v>31</v>
      </c>
      <c r="K167" s="2" t="s">
        <v>23</v>
      </c>
      <c r="L167">
        <v>3</v>
      </c>
      <c r="M167">
        <v>2025</v>
      </c>
      <c r="N167" s="2" t="str">
        <v>2025-03</v>
      </c>
      <c r="O167" s="1" t="str">
        <f t="shared" si="2"/>
        <v>Pending</v>
      </c>
    </row>
    <row r="168" spans="1:15" x14ac:dyDescent="0.35">
      <c r="A168" s="2" t="s">
        <v>220</v>
      </c>
      <c r="B168" s="3">
        <v>45736</v>
      </c>
      <c r="C168" s="2" t="s">
        <v>65</v>
      </c>
      <c r="D168" s="2" t="s">
        <v>61</v>
      </c>
      <c r="E168" s="4">
        <v>1200</v>
      </c>
      <c r="F168" s="4">
        <v>2</v>
      </c>
      <c r="G168" s="4">
        <v>2400</v>
      </c>
      <c r="H168" s="2" t="s">
        <v>29</v>
      </c>
      <c r="I168" s="2" t="s">
        <v>63</v>
      </c>
      <c r="J168" s="2" t="s">
        <v>31</v>
      </c>
      <c r="K168" s="2" t="s">
        <v>40</v>
      </c>
      <c r="L168">
        <v>3</v>
      </c>
      <c r="M168">
        <v>2025</v>
      </c>
      <c r="N168" s="2" t="str">
        <v>2025-03</v>
      </c>
      <c r="O168" s="1" t="str">
        <f t="shared" si="2"/>
        <v>Completed</v>
      </c>
    </row>
    <row r="169" spans="1:15" x14ac:dyDescent="0.35">
      <c r="A169" s="2" t="s">
        <v>221</v>
      </c>
      <c r="B169" s="3">
        <v>45740</v>
      </c>
      <c r="C169" s="2" t="s">
        <v>56</v>
      </c>
      <c r="D169" s="2" t="s">
        <v>20</v>
      </c>
      <c r="E169" s="4">
        <v>800</v>
      </c>
      <c r="F169" s="4">
        <v>5</v>
      </c>
      <c r="G169" s="4">
        <v>4000</v>
      </c>
      <c r="H169" s="2" t="s">
        <v>54</v>
      </c>
      <c r="I169" s="2" t="s">
        <v>44</v>
      </c>
      <c r="J169" s="2" t="s">
        <v>16</v>
      </c>
      <c r="K169" s="2" t="s">
        <v>23</v>
      </c>
      <c r="L169">
        <v>3</v>
      </c>
      <c r="M169">
        <v>2025</v>
      </c>
      <c r="N169" s="2" t="str">
        <v>2025-03</v>
      </c>
      <c r="O169" s="1" t="str">
        <f t="shared" si="2"/>
        <v>Pending</v>
      </c>
    </row>
    <row r="170" spans="1:15" x14ac:dyDescent="0.35">
      <c r="A170" s="2" t="s">
        <v>222</v>
      </c>
      <c r="B170" s="3">
        <v>45722</v>
      </c>
      <c r="C170" s="2" t="s">
        <v>65</v>
      </c>
      <c r="D170" s="2" t="s">
        <v>61</v>
      </c>
      <c r="E170" s="4">
        <v>1200</v>
      </c>
      <c r="F170" s="4">
        <v>2</v>
      </c>
      <c r="G170" s="4">
        <v>2400</v>
      </c>
      <c r="H170" s="2" t="s">
        <v>25</v>
      </c>
      <c r="I170" s="2" t="s">
        <v>26</v>
      </c>
      <c r="J170" s="2" t="s">
        <v>39</v>
      </c>
      <c r="K170" s="2" t="s">
        <v>40</v>
      </c>
      <c r="L170">
        <v>3</v>
      </c>
      <c r="M170">
        <v>2025</v>
      </c>
      <c r="N170" s="2" t="str">
        <v>2025-03</v>
      </c>
      <c r="O170" s="1" t="str">
        <f t="shared" si="2"/>
        <v>Completed</v>
      </c>
    </row>
    <row r="171" spans="1:15" x14ac:dyDescent="0.35">
      <c r="A171" s="2" t="s">
        <v>223</v>
      </c>
      <c r="B171" s="3">
        <v>45716</v>
      </c>
      <c r="C171" s="2" t="s">
        <v>56</v>
      </c>
      <c r="D171" s="2" t="s">
        <v>20</v>
      </c>
      <c r="E171" s="4">
        <v>800</v>
      </c>
      <c r="F171" s="4">
        <v>1</v>
      </c>
      <c r="G171" s="4">
        <v>800</v>
      </c>
      <c r="H171" s="2" t="s">
        <v>14</v>
      </c>
      <c r="I171" s="2" t="s">
        <v>22</v>
      </c>
      <c r="J171" s="2" t="s">
        <v>58</v>
      </c>
      <c r="K171" s="2" t="s">
        <v>23</v>
      </c>
      <c r="L171">
        <v>2</v>
      </c>
      <c r="M171">
        <v>2025</v>
      </c>
      <c r="N171" s="2" t="str">
        <v>2025-02</v>
      </c>
      <c r="O171" s="1" t="str">
        <f t="shared" si="2"/>
        <v>Pending</v>
      </c>
    </row>
    <row r="172" spans="1:15" x14ac:dyDescent="0.35">
      <c r="A172" s="2" t="s">
        <v>224</v>
      </c>
      <c r="B172" s="3">
        <v>45716</v>
      </c>
      <c r="C172" s="2" t="s">
        <v>33</v>
      </c>
      <c r="D172" s="2" t="s">
        <v>20</v>
      </c>
      <c r="E172" s="4">
        <v>150</v>
      </c>
      <c r="F172" s="4">
        <v>2</v>
      </c>
      <c r="G172" s="4">
        <v>300</v>
      </c>
      <c r="H172" s="2" t="s">
        <v>57</v>
      </c>
      <c r="I172" s="2" t="s">
        <v>38</v>
      </c>
      <c r="J172" s="2" t="s">
        <v>39</v>
      </c>
      <c r="K172" s="2" t="s">
        <v>40</v>
      </c>
      <c r="L172">
        <v>2</v>
      </c>
      <c r="M172">
        <v>2025</v>
      </c>
      <c r="N172" s="2" t="str">
        <v>2025-02</v>
      </c>
      <c r="O172" s="1" t="str">
        <f t="shared" si="2"/>
        <v>Completed</v>
      </c>
    </row>
    <row r="173" spans="1:15" x14ac:dyDescent="0.35">
      <c r="A173" s="2" t="s">
        <v>225</v>
      </c>
      <c r="B173" s="3">
        <v>45728</v>
      </c>
      <c r="C173" s="2" t="s">
        <v>49</v>
      </c>
      <c r="D173" s="2" t="s">
        <v>50</v>
      </c>
      <c r="E173" s="4">
        <v>15</v>
      </c>
      <c r="F173" s="4">
        <v>1</v>
      </c>
      <c r="G173" s="4">
        <v>15</v>
      </c>
      <c r="H173" s="2" t="s">
        <v>51</v>
      </c>
      <c r="I173" s="2" t="s">
        <v>44</v>
      </c>
      <c r="J173" s="2" t="s">
        <v>16</v>
      </c>
      <c r="K173" s="2" t="s">
        <v>17</v>
      </c>
      <c r="L173">
        <v>3</v>
      </c>
      <c r="M173">
        <v>2025</v>
      </c>
      <c r="N173" s="2" t="str">
        <v>2025-03</v>
      </c>
      <c r="O173" s="1" t="str">
        <f t="shared" si="2"/>
        <v>Cancelled</v>
      </c>
    </row>
    <row r="174" spans="1:15" x14ac:dyDescent="0.35">
      <c r="A174" s="2" t="s">
        <v>226</v>
      </c>
      <c r="B174" s="3">
        <v>45716</v>
      </c>
      <c r="C174" s="2" t="s">
        <v>65</v>
      </c>
      <c r="D174" s="2" t="s">
        <v>61</v>
      </c>
      <c r="E174" s="4">
        <v>1200</v>
      </c>
      <c r="F174" s="4">
        <v>1</v>
      </c>
      <c r="G174" s="4">
        <v>1200</v>
      </c>
      <c r="H174" s="2" t="s">
        <v>29</v>
      </c>
      <c r="I174" s="2" t="s">
        <v>63</v>
      </c>
      <c r="J174" s="2" t="s">
        <v>39</v>
      </c>
      <c r="K174" s="2" t="s">
        <v>40</v>
      </c>
      <c r="L174">
        <v>2</v>
      </c>
      <c r="M174">
        <v>2025</v>
      </c>
      <c r="N174" s="2" t="str">
        <v>2025-02</v>
      </c>
      <c r="O174" s="1" t="str">
        <f t="shared" si="2"/>
        <v>Completed</v>
      </c>
    </row>
    <row r="175" spans="1:15" x14ac:dyDescent="0.35">
      <c r="A175" s="2" t="s">
        <v>227</v>
      </c>
      <c r="B175" s="3">
        <v>45729</v>
      </c>
      <c r="C175" s="2" t="s">
        <v>33</v>
      </c>
      <c r="D175" s="2" t="s">
        <v>20</v>
      </c>
      <c r="E175" s="4">
        <v>150</v>
      </c>
      <c r="F175" s="4">
        <v>2</v>
      </c>
      <c r="G175" s="4">
        <v>300</v>
      </c>
      <c r="H175" s="2" t="s">
        <v>51</v>
      </c>
      <c r="I175" s="2" t="s">
        <v>81</v>
      </c>
      <c r="J175" s="2" t="s">
        <v>16</v>
      </c>
      <c r="K175" s="2" t="s">
        <v>23</v>
      </c>
      <c r="L175">
        <v>3</v>
      </c>
      <c r="M175">
        <v>2025</v>
      </c>
      <c r="N175" s="2" t="str">
        <v>2025-03</v>
      </c>
      <c r="O175" s="1" t="str">
        <f t="shared" si="2"/>
        <v>Pending</v>
      </c>
    </row>
    <row r="176" spans="1:15" x14ac:dyDescent="0.35">
      <c r="A176" s="2" t="s">
        <v>228</v>
      </c>
      <c r="B176" s="3">
        <v>45740</v>
      </c>
      <c r="C176" s="2" t="s">
        <v>53</v>
      </c>
      <c r="D176" s="2" t="s">
        <v>36</v>
      </c>
      <c r="E176" s="4">
        <v>40</v>
      </c>
      <c r="F176" s="4">
        <v>5</v>
      </c>
      <c r="G176" s="4">
        <v>200</v>
      </c>
      <c r="H176" s="2" t="s">
        <v>51</v>
      </c>
      <c r="I176" s="2" t="s">
        <v>15</v>
      </c>
      <c r="J176" s="2" t="s">
        <v>16</v>
      </c>
      <c r="K176" s="2" t="s">
        <v>17</v>
      </c>
      <c r="L176">
        <v>3</v>
      </c>
      <c r="M176">
        <v>2025</v>
      </c>
      <c r="N176" s="2" t="str">
        <v>2025-03</v>
      </c>
      <c r="O176" s="1" t="str">
        <f t="shared" si="2"/>
        <v>Cancelled</v>
      </c>
    </row>
    <row r="177" spans="1:15" x14ac:dyDescent="0.35">
      <c r="A177" s="2" t="s">
        <v>229</v>
      </c>
      <c r="B177" s="3">
        <v>45743</v>
      </c>
      <c r="C177" s="2" t="s">
        <v>49</v>
      </c>
      <c r="D177" s="2" t="s">
        <v>50</v>
      </c>
      <c r="E177" s="4">
        <v>15</v>
      </c>
      <c r="F177" s="4">
        <v>1</v>
      </c>
      <c r="G177" s="4">
        <v>15</v>
      </c>
      <c r="H177" s="2" t="s">
        <v>54</v>
      </c>
      <c r="I177" s="2" t="s">
        <v>46</v>
      </c>
      <c r="J177" s="2" t="s">
        <v>27</v>
      </c>
      <c r="K177" s="2" t="s">
        <v>40</v>
      </c>
      <c r="L177">
        <v>3</v>
      </c>
      <c r="M177">
        <v>2025</v>
      </c>
      <c r="N177" s="2" t="str">
        <v>2025-03</v>
      </c>
      <c r="O177" s="1" t="str">
        <f t="shared" si="2"/>
        <v>Completed</v>
      </c>
    </row>
    <row r="178" spans="1:15" x14ac:dyDescent="0.35">
      <c r="A178" s="2" t="s">
        <v>230</v>
      </c>
      <c r="B178" s="3">
        <v>45730</v>
      </c>
      <c r="C178" s="2" t="s">
        <v>49</v>
      </c>
      <c r="D178" s="2" t="s">
        <v>50</v>
      </c>
      <c r="E178" s="4">
        <v>15</v>
      </c>
      <c r="F178" s="4">
        <v>5</v>
      </c>
      <c r="G178" s="4">
        <v>75</v>
      </c>
      <c r="H178" s="2" t="s">
        <v>51</v>
      </c>
      <c r="I178" s="2" t="s">
        <v>22</v>
      </c>
      <c r="J178" s="2" t="s">
        <v>31</v>
      </c>
      <c r="K178" s="2" t="s">
        <v>23</v>
      </c>
      <c r="L178">
        <v>3</v>
      </c>
      <c r="M178">
        <v>2025</v>
      </c>
      <c r="N178" s="2" t="str">
        <v>2025-03</v>
      </c>
      <c r="O178" s="1" t="str">
        <f t="shared" si="2"/>
        <v>Pending</v>
      </c>
    </row>
    <row r="179" spans="1:15" x14ac:dyDescent="0.35">
      <c r="A179" s="2" t="s">
        <v>231</v>
      </c>
      <c r="B179" s="3">
        <v>45694</v>
      </c>
      <c r="C179" s="2" t="s">
        <v>42</v>
      </c>
      <c r="D179" s="2" t="s">
        <v>20</v>
      </c>
      <c r="E179" s="4">
        <v>500</v>
      </c>
      <c r="F179" s="4">
        <v>3</v>
      </c>
      <c r="G179" s="4">
        <v>1500</v>
      </c>
      <c r="H179" s="2" t="s">
        <v>21</v>
      </c>
      <c r="I179" s="2" t="s">
        <v>81</v>
      </c>
      <c r="J179" s="2" t="s">
        <v>39</v>
      </c>
      <c r="K179" s="2" t="s">
        <v>40</v>
      </c>
      <c r="L179">
        <v>2</v>
      </c>
      <c r="M179">
        <v>2025</v>
      </c>
      <c r="N179" s="2" t="str">
        <v>2025-02</v>
      </c>
      <c r="O179" s="1" t="str">
        <f t="shared" si="2"/>
        <v>Completed</v>
      </c>
    </row>
    <row r="180" spans="1:15" x14ac:dyDescent="0.35">
      <c r="A180" s="2" t="s">
        <v>232</v>
      </c>
      <c r="B180" s="3">
        <v>45741</v>
      </c>
      <c r="C180" s="2" t="s">
        <v>53</v>
      </c>
      <c r="D180" s="2" t="s">
        <v>36</v>
      </c>
      <c r="E180" s="4">
        <v>40</v>
      </c>
      <c r="F180" s="4">
        <v>1</v>
      </c>
      <c r="G180" s="4">
        <v>40</v>
      </c>
      <c r="H180" s="2" t="s">
        <v>29</v>
      </c>
      <c r="I180" s="2" t="s">
        <v>63</v>
      </c>
      <c r="J180" s="2" t="s">
        <v>39</v>
      </c>
      <c r="K180" s="2" t="s">
        <v>17</v>
      </c>
      <c r="L180">
        <v>3</v>
      </c>
      <c r="M180">
        <v>2025</v>
      </c>
      <c r="N180" s="2" t="str">
        <v>2025-03</v>
      </c>
      <c r="O180" s="1" t="str">
        <f t="shared" si="2"/>
        <v>Cancelled</v>
      </c>
    </row>
    <row r="181" spans="1:15" x14ac:dyDescent="0.35">
      <c r="A181" s="2" t="s">
        <v>233</v>
      </c>
      <c r="B181" s="3">
        <v>45720</v>
      </c>
      <c r="C181" s="2" t="s">
        <v>65</v>
      </c>
      <c r="D181" s="2" t="s">
        <v>61</v>
      </c>
      <c r="E181" s="4">
        <v>1200</v>
      </c>
      <c r="F181" s="4">
        <v>3</v>
      </c>
      <c r="G181" s="4">
        <v>3600</v>
      </c>
      <c r="H181" s="2" t="s">
        <v>51</v>
      </c>
      <c r="I181" s="2" t="s">
        <v>46</v>
      </c>
      <c r="J181" s="2" t="s">
        <v>58</v>
      </c>
      <c r="K181" s="2" t="s">
        <v>40</v>
      </c>
      <c r="L181">
        <v>3</v>
      </c>
      <c r="M181">
        <v>2025</v>
      </c>
      <c r="N181" s="2" t="str">
        <v>2025-03</v>
      </c>
      <c r="O181" s="1" t="str">
        <f t="shared" si="2"/>
        <v>Completed</v>
      </c>
    </row>
    <row r="182" spans="1:15" x14ac:dyDescent="0.35">
      <c r="A182" s="2" t="s">
        <v>234</v>
      </c>
      <c r="B182" s="3">
        <v>45719</v>
      </c>
      <c r="C182" s="2" t="s">
        <v>12</v>
      </c>
      <c r="D182" s="2" t="s">
        <v>13</v>
      </c>
      <c r="E182" s="4">
        <v>60</v>
      </c>
      <c r="F182" s="4">
        <v>2</v>
      </c>
      <c r="G182" s="4">
        <v>120</v>
      </c>
      <c r="H182" s="2" t="s">
        <v>51</v>
      </c>
      <c r="I182" s="2" t="s">
        <v>68</v>
      </c>
      <c r="J182" s="2" t="s">
        <v>16</v>
      </c>
      <c r="K182" s="2" t="s">
        <v>17</v>
      </c>
      <c r="L182">
        <v>3</v>
      </c>
      <c r="M182">
        <v>2025</v>
      </c>
      <c r="N182" s="2" t="str">
        <v>2025-03</v>
      </c>
      <c r="O182" s="1" t="str">
        <f t="shared" si="2"/>
        <v>Cancelled</v>
      </c>
    </row>
    <row r="183" spans="1:15" x14ac:dyDescent="0.35">
      <c r="A183" s="2" t="s">
        <v>235</v>
      </c>
      <c r="B183" s="3">
        <v>45749</v>
      </c>
      <c r="C183" s="2" t="s">
        <v>35</v>
      </c>
      <c r="D183" s="2" t="s">
        <v>36</v>
      </c>
      <c r="E183" s="4">
        <v>20</v>
      </c>
      <c r="F183" s="4">
        <v>5</v>
      </c>
      <c r="G183" s="4">
        <v>100</v>
      </c>
      <c r="H183" s="2" t="s">
        <v>14</v>
      </c>
      <c r="I183" s="2" t="s">
        <v>26</v>
      </c>
      <c r="J183" s="2" t="s">
        <v>39</v>
      </c>
      <c r="K183" s="2" t="s">
        <v>40</v>
      </c>
      <c r="L183">
        <v>4</v>
      </c>
      <c r="M183">
        <v>2025</v>
      </c>
      <c r="N183" s="2" t="str">
        <v>2025-04</v>
      </c>
      <c r="O183" s="1" t="str">
        <f t="shared" si="2"/>
        <v>Completed</v>
      </c>
    </row>
    <row r="184" spans="1:15" x14ac:dyDescent="0.35">
      <c r="A184" s="2" t="s">
        <v>236</v>
      </c>
      <c r="B184" s="3">
        <v>45741</v>
      </c>
      <c r="C184" s="2" t="s">
        <v>60</v>
      </c>
      <c r="D184" s="2" t="s">
        <v>61</v>
      </c>
      <c r="E184" s="4">
        <v>600</v>
      </c>
      <c r="F184" s="4">
        <v>1</v>
      </c>
      <c r="G184" s="4">
        <v>600</v>
      </c>
      <c r="H184" s="2" t="s">
        <v>14</v>
      </c>
      <c r="I184" s="2" t="s">
        <v>63</v>
      </c>
      <c r="J184" s="2" t="s">
        <v>16</v>
      </c>
      <c r="K184" s="2" t="s">
        <v>23</v>
      </c>
      <c r="L184">
        <v>3</v>
      </c>
      <c r="M184">
        <v>2025</v>
      </c>
      <c r="N184" s="2" t="str">
        <v>2025-03</v>
      </c>
      <c r="O184" s="1" t="str">
        <f t="shared" si="2"/>
        <v>Pending</v>
      </c>
    </row>
    <row r="185" spans="1:15" x14ac:dyDescent="0.35">
      <c r="A185" s="2" t="s">
        <v>237</v>
      </c>
      <c r="B185" s="3">
        <v>45705</v>
      </c>
      <c r="C185" s="2" t="s">
        <v>49</v>
      </c>
      <c r="D185" s="2" t="s">
        <v>50</v>
      </c>
      <c r="E185" s="4">
        <v>15</v>
      </c>
      <c r="F185" s="4">
        <v>5</v>
      </c>
      <c r="G185" s="4">
        <v>75</v>
      </c>
      <c r="H185" s="2" t="s">
        <v>57</v>
      </c>
      <c r="I185" s="2" t="s">
        <v>44</v>
      </c>
      <c r="J185" s="2" t="s">
        <v>16</v>
      </c>
      <c r="K185" s="2" t="s">
        <v>23</v>
      </c>
      <c r="L185">
        <v>2</v>
      </c>
      <c r="M185">
        <v>2025</v>
      </c>
      <c r="N185" s="2" t="str">
        <v>2025-02</v>
      </c>
      <c r="O185" s="1" t="str">
        <f t="shared" si="2"/>
        <v>Pending</v>
      </c>
    </row>
    <row r="186" spans="1:15" x14ac:dyDescent="0.35">
      <c r="A186" s="2" t="s">
        <v>238</v>
      </c>
      <c r="B186" s="3">
        <v>45738</v>
      </c>
      <c r="C186" s="2" t="s">
        <v>35</v>
      </c>
      <c r="D186" s="2" t="s">
        <v>36</v>
      </c>
      <c r="E186" s="4">
        <v>20</v>
      </c>
      <c r="F186" s="4">
        <v>1</v>
      </c>
      <c r="G186" s="4">
        <v>20</v>
      </c>
      <c r="H186" s="2" t="s">
        <v>72</v>
      </c>
      <c r="I186" s="2" t="s">
        <v>30</v>
      </c>
      <c r="J186" s="2" t="s">
        <v>16</v>
      </c>
      <c r="K186" s="2" t="s">
        <v>40</v>
      </c>
      <c r="L186">
        <v>3</v>
      </c>
      <c r="M186">
        <v>2025</v>
      </c>
      <c r="N186" s="2" t="str">
        <v>2025-03</v>
      </c>
      <c r="O186" s="1" t="str">
        <f t="shared" si="2"/>
        <v>Completed</v>
      </c>
    </row>
    <row r="187" spans="1:15" x14ac:dyDescent="0.35">
      <c r="A187" s="2" t="s">
        <v>239</v>
      </c>
      <c r="B187" s="3">
        <v>45718</v>
      </c>
      <c r="C187" s="2" t="s">
        <v>60</v>
      </c>
      <c r="D187" s="2" t="s">
        <v>61</v>
      </c>
      <c r="E187" s="4">
        <v>600</v>
      </c>
      <c r="F187" s="4">
        <v>4</v>
      </c>
      <c r="G187" s="4">
        <v>2400</v>
      </c>
      <c r="H187" s="2" t="s">
        <v>54</v>
      </c>
      <c r="I187" s="2" t="s">
        <v>15</v>
      </c>
      <c r="J187" s="2" t="s">
        <v>39</v>
      </c>
      <c r="K187" s="2" t="s">
        <v>40</v>
      </c>
      <c r="L187">
        <v>3</v>
      </c>
      <c r="M187">
        <v>2025</v>
      </c>
      <c r="N187" s="2" t="str">
        <v>2025-03</v>
      </c>
      <c r="O187" s="1" t="str">
        <f t="shared" si="2"/>
        <v>Completed</v>
      </c>
    </row>
    <row r="188" spans="1:15" x14ac:dyDescent="0.35">
      <c r="A188" s="2" t="s">
        <v>240</v>
      </c>
      <c r="B188" s="3">
        <v>45729</v>
      </c>
      <c r="C188" s="2" t="s">
        <v>56</v>
      </c>
      <c r="D188" s="2" t="s">
        <v>20</v>
      </c>
      <c r="E188" s="4">
        <v>800</v>
      </c>
      <c r="F188" s="4">
        <v>3</v>
      </c>
      <c r="G188" s="4">
        <v>2400</v>
      </c>
      <c r="H188" s="2" t="s">
        <v>25</v>
      </c>
      <c r="I188" s="2" t="s">
        <v>15</v>
      </c>
      <c r="J188" s="2" t="s">
        <v>39</v>
      </c>
      <c r="K188" s="2" t="s">
        <v>23</v>
      </c>
      <c r="L188">
        <v>3</v>
      </c>
      <c r="M188">
        <v>2025</v>
      </c>
      <c r="N188" s="2" t="str">
        <v>2025-03</v>
      </c>
      <c r="O188" s="1" t="str">
        <f t="shared" si="2"/>
        <v>Pending</v>
      </c>
    </row>
    <row r="189" spans="1:15" x14ac:dyDescent="0.35">
      <c r="A189" s="2" t="s">
        <v>241</v>
      </c>
      <c r="B189" s="3">
        <v>45702</v>
      </c>
      <c r="C189" s="2" t="s">
        <v>49</v>
      </c>
      <c r="D189" s="2" t="s">
        <v>50</v>
      </c>
      <c r="E189" s="4">
        <v>15</v>
      </c>
      <c r="F189" s="4">
        <v>1</v>
      </c>
      <c r="G189" s="4">
        <v>15</v>
      </c>
      <c r="H189" s="2" t="s">
        <v>25</v>
      </c>
      <c r="I189" s="2" t="s">
        <v>46</v>
      </c>
      <c r="J189" s="2" t="s">
        <v>27</v>
      </c>
      <c r="K189" s="2" t="s">
        <v>40</v>
      </c>
      <c r="L189">
        <v>2</v>
      </c>
      <c r="M189">
        <v>2025</v>
      </c>
      <c r="N189" s="2" t="str">
        <v>2025-02</v>
      </c>
      <c r="O189" s="1" t="str">
        <f t="shared" si="2"/>
        <v>Completed</v>
      </c>
    </row>
    <row r="190" spans="1:15" x14ac:dyDescent="0.35">
      <c r="A190" s="2" t="s">
        <v>242</v>
      </c>
      <c r="B190" s="3">
        <v>45698</v>
      </c>
      <c r="C190" s="2" t="s">
        <v>56</v>
      </c>
      <c r="D190" s="2" t="s">
        <v>20</v>
      </c>
      <c r="E190" s="4">
        <v>800</v>
      </c>
      <c r="F190" s="4">
        <v>3</v>
      </c>
      <c r="G190" s="4">
        <v>2400</v>
      </c>
      <c r="H190" s="2" t="s">
        <v>80</v>
      </c>
      <c r="I190" s="2" t="s">
        <v>38</v>
      </c>
      <c r="J190" s="2" t="s">
        <v>27</v>
      </c>
      <c r="K190" s="2" t="s">
        <v>40</v>
      </c>
      <c r="L190">
        <v>2</v>
      </c>
      <c r="M190">
        <v>2025</v>
      </c>
      <c r="N190" s="2" t="str">
        <v>2025-02</v>
      </c>
      <c r="O190" s="1" t="str">
        <f t="shared" si="2"/>
        <v>Completed</v>
      </c>
    </row>
    <row r="191" spans="1:15" x14ac:dyDescent="0.35">
      <c r="A191" s="2" t="s">
        <v>243</v>
      </c>
      <c r="B191" s="3">
        <v>45711</v>
      </c>
      <c r="C191" s="2" t="s">
        <v>12</v>
      </c>
      <c r="D191" s="2" t="s">
        <v>13</v>
      </c>
      <c r="E191" s="4">
        <v>60</v>
      </c>
      <c r="F191" s="4">
        <v>1</v>
      </c>
      <c r="G191" s="4">
        <v>60</v>
      </c>
      <c r="H191" s="2" t="s">
        <v>43</v>
      </c>
      <c r="I191" s="2" t="s">
        <v>38</v>
      </c>
      <c r="J191" s="2" t="s">
        <v>39</v>
      </c>
      <c r="K191" s="2" t="s">
        <v>40</v>
      </c>
      <c r="L191">
        <v>2</v>
      </c>
      <c r="M191">
        <v>2025</v>
      </c>
      <c r="N191" s="2" t="str">
        <v>2025-02</v>
      </c>
      <c r="O191" s="1" t="str">
        <f t="shared" si="2"/>
        <v>Completed</v>
      </c>
    </row>
    <row r="192" spans="1:15" x14ac:dyDescent="0.35">
      <c r="A192" s="2" t="s">
        <v>244</v>
      </c>
      <c r="B192" s="3">
        <v>45716</v>
      </c>
      <c r="C192" s="2" t="s">
        <v>53</v>
      </c>
      <c r="D192" s="2" t="s">
        <v>36</v>
      </c>
      <c r="E192" s="4">
        <v>40</v>
      </c>
      <c r="F192" s="4">
        <v>4</v>
      </c>
      <c r="G192" s="4">
        <v>160</v>
      </c>
      <c r="H192" s="2" t="s">
        <v>25</v>
      </c>
      <c r="I192" s="2" t="s">
        <v>63</v>
      </c>
      <c r="J192" s="2" t="s">
        <v>27</v>
      </c>
      <c r="K192" s="2" t="s">
        <v>23</v>
      </c>
      <c r="L192">
        <v>2</v>
      </c>
      <c r="M192">
        <v>2025</v>
      </c>
      <c r="N192" s="2" t="str">
        <v>2025-02</v>
      </c>
      <c r="O192" s="1" t="str">
        <f t="shared" si="2"/>
        <v>Pending</v>
      </c>
    </row>
    <row r="193" spans="1:15" x14ac:dyDescent="0.35">
      <c r="A193" s="2" t="s">
        <v>245</v>
      </c>
      <c r="B193" s="3">
        <v>45747</v>
      </c>
      <c r="C193" s="2" t="s">
        <v>19</v>
      </c>
      <c r="D193" s="2" t="s">
        <v>20</v>
      </c>
      <c r="E193" s="4">
        <v>100</v>
      </c>
      <c r="F193" s="4">
        <v>3</v>
      </c>
      <c r="G193" s="4">
        <v>300</v>
      </c>
      <c r="H193" s="2" t="s">
        <v>43</v>
      </c>
      <c r="I193" s="2" t="s">
        <v>30</v>
      </c>
      <c r="J193" s="2" t="s">
        <v>58</v>
      </c>
      <c r="K193" s="2" t="s">
        <v>23</v>
      </c>
      <c r="L193">
        <v>3</v>
      </c>
      <c r="M193">
        <v>2025</v>
      </c>
      <c r="N193" s="2" t="str">
        <v>2025-03</v>
      </c>
      <c r="O193" s="1" t="str">
        <f t="shared" si="2"/>
        <v>Pending</v>
      </c>
    </row>
    <row r="194" spans="1:15" x14ac:dyDescent="0.35">
      <c r="A194" s="2" t="s">
        <v>246</v>
      </c>
      <c r="B194" s="3">
        <v>45746</v>
      </c>
      <c r="C194" s="2" t="s">
        <v>49</v>
      </c>
      <c r="D194" s="2" t="s">
        <v>50</v>
      </c>
      <c r="E194" s="4">
        <v>15</v>
      </c>
      <c r="F194" s="4">
        <v>5</v>
      </c>
      <c r="G194" s="4">
        <v>75</v>
      </c>
      <c r="H194" s="2" t="s">
        <v>51</v>
      </c>
      <c r="I194" s="2" t="s">
        <v>81</v>
      </c>
      <c r="J194" s="2" t="s">
        <v>27</v>
      </c>
      <c r="K194" s="2" t="s">
        <v>23</v>
      </c>
      <c r="L194">
        <v>3</v>
      </c>
      <c r="M194">
        <v>2025</v>
      </c>
      <c r="N194" s="2" t="str">
        <v>2025-03</v>
      </c>
      <c r="O194" s="1" t="str">
        <f t="shared" si="2"/>
        <v>Pending</v>
      </c>
    </row>
    <row r="195" spans="1:15" x14ac:dyDescent="0.35">
      <c r="A195" s="2" t="s">
        <v>247</v>
      </c>
      <c r="B195" s="3">
        <v>45708</v>
      </c>
      <c r="C195" s="2" t="s">
        <v>53</v>
      </c>
      <c r="D195" s="2" t="s">
        <v>36</v>
      </c>
      <c r="E195" s="4">
        <v>40</v>
      </c>
      <c r="F195" s="4">
        <v>4</v>
      </c>
      <c r="G195" s="4">
        <v>160</v>
      </c>
      <c r="H195" s="2" t="s">
        <v>25</v>
      </c>
      <c r="I195" s="2" t="s">
        <v>22</v>
      </c>
      <c r="J195" s="2" t="s">
        <v>16</v>
      </c>
      <c r="K195" s="2" t="s">
        <v>17</v>
      </c>
      <c r="L195">
        <v>2</v>
      </c>
      <c r="M195">
        <v>2025</v>
      </c>
      <c r="N195" s="2" t="str">
        <v>2025-02</v>
      </c>
      <c r="O195" s="1" t="str">
        <f t="shared" ref="O195:O251" si="3">IF(K195="Cancelled","Cancelled",IF(K195="Completed","Completed","Pending"))</f>
        <v>Cancelled</v>
      </c>
    </row>
    <row r="196" spans="1:15" x14ac:dyDescent="0.35">
      <c r="A196" s="2" t="s">
        <v>248</v>
      </c>
      <c r="B196" s="3">
        <v>45726</v>
      </c>
      <c r="C196" s="2" t="s">
        <v>42</v>
      </c>
      <c r="D196" s="2" t="s">
        <v>20</v>
      </c>
      <c r="E196" s="4">
        <v>500</v>
      </c>
      <c r="F196" s="4">
        <v>3</v>
      </c>
      <c r="G196" s="4">
        <v>1500</v>
      </c>
      <c r="H196" s="2" t="s">
        <v>29</v>
      </c>
      <c r="I196" s="2" t="s">
        <v>26</v>
      </c>
      <c r="J196" s="2" t="s">
        <v>58</v>
      </c>
      <c r="K196" s="2" t="s">
        <v>17</v>
      </c>
      <c r="L196">
        <v>3</v>
      </c>
      <c r="M196">
        <v>2025</v>
      </c>
      <c r="N196" s="2" t="str">
        <v>2025-03</v>
      </c>
      <c r="O196" s="1" t="str">
        <f t="shared" si="3"/>
        <v>Cancelled</v>
      </c>
    </row>
    <row r="197" spans="1:15" x14ac:dyDescent="0.35">
      <c r="A197" s="2" t="s">
        <v>249</v>
      </c>
      <c r="B197" s="3">
        <v>45720</v>
      </c>
      <c r="C197" s="2" t="s">
        <v>19</v>
      </c>
      <c r="D197" s="2" t="s">
        <v>20</v>
      </c>
      <c r="E197" s="4">
        <v>100</v>
      </c>
      <c r="F197" s="4">
        <v>5</v>
      </c>
      <c r="G197" s="4">
        <v>500</v>
      </c>
      <c r="H197" s="2" t="s">
        <v>57</v>
      </c>
      <c r="I197" s="2" t="s">
        <v>63</v>
      </c>
      <c r="J197" s="2" t="s">
        <v>16</v>
      </c>
      <c r="K197" s="2" t="s">
        <v>23</v>
      </c>
      <c r="L197">
        <v>3</v>
      </c>
      <c r="M197">
        <v>2025</v>
      </c>
      <c r="N197" s="2" t="str">
        <v>2025-03</v>
      </c>
      <c r="O197" s="1" t="str">
        <f t="shared" si="3"/>
        <v>Pending</v>
      </c>
    </row>
    <row r="198" spans="1:15" x14ac:dyDescent="0.35">
      <c r="A198" s="2" t="s">
        <v>250</v>
      </c>
      <c r="B198" s="3">
        <v>45728</v>
      </c>
      <c r="C198" s="2" t="s">
        <v>12</v>
      </c>
      <c r="D198" s="2" t="s">
        <v>13</v>
      </c>
      <c r="E198" s="4">
        <v>60</v>
      </c>
      <c r="F198" s="4">
        <v>2</v>
      </c>
      <c r="G198" s="4">
        <v>120</v>
      </c>
      <c r="H198" s="2" t="s">
        <v>54</v>
      </c>
      <c r="I198" s="2" t="s">
        <v>26</v>
      </c>
      <c r="J198" s="2" t="s">
        <v>58</v>
      </c>
      <c r="K198" s="2" t="s">
        <v>40</v>
      </c>
      <c r="L198">
        <v>3</v>
      </c>
      <c r="M198">
        <v>2025</v>
      </c>
      <c r="N198" s="2" t="str">
        <v>2025-03</v>
      </c>
      <c r="O198" s="1" t="str">
        <f t="shared" si="3"/>
        <v>Completed</v>
      </c>
    </row>
    <row r="199" spans="1:15" x14ac:dyDescent="0.35">
      <c r="A199" s="2" t="s">
        <v>251</v>
      </c>
      <c r="B199" s="3">
        <v>45708</v>
      </c>
      <c r="C199" s="2" t="s">
        <v>56</v>
      </c>
      <c r="D199" s="2" t="s">
        <v>20</v>
      </c>
      <c r="E199" s="4">
        <v>800</v>
      </c>
      <c r="F199" s="4">
        <v>4</v>
      </c>
      <c r="G199" s="4">
        <v>3200</v>
      </c>
      <c r="H199" s="2" t="s">
        <v>80</v>
      </c>
      <c r="I199" s="2" t="s">
        <v>63</v>
      </c>
      <c r="J199" s="2" t="s">
        <v>27</v>
      </c>
      <c r="K199" s="2" t="s">
        <v>23</v>
      </c>
      <c r="L199">
        <v>2</v>
      </c>
      <c r="M199">
        <v>2025</v>
      </c>
      <c r="N199" s="2" t="str">
        <v>2025-02</v>
      </c>
      <c r="O199" s="1" t="str">
        <f t="shared" si="3"/>
        <v>Pending</v>
      </c>
    </row>
    <row r="200" spans="1:15" x14ac:dyDescent="0.35">
      <c r="A200" s="2" t="s">
        <v>252</v>
      </c>
      <c r="B200" s="3">
        <v>45710</v>
      </c>
      <c r="C200" s="2" t="s">
        <v>42</v>
      </c>
      <c r="D200" s="2" t="s">
        <v>20</v>
      </c>
      <c r="E200" s="4">
        <v>500</v>
      </c>
      <c r="F200" s="4">
        <v>3</v>
      </c>
      <c r="G200" s="4">
        <v>1500</v>
      </c>
      <c r="H200" s="2" t="s">
        <v>72</v>
      </c>
      <c r="I200" s="2" t="s">
        <v>30</v>
      </c>
      <c r="J200" s="2" t="s">
        <v>31</v>
      </c>
      <c r="K200" s="2" t="s">
        <v>40</v>
      </c>
      <c r="L200">
        <v>2</v>
      </c>
      <c r="M200">
        <v>2025</v>
      </c>
      <c r="N200" s="2" t="str">
        <v>2025-02</v>
      </c>
      <c r="O200" s="1" t="str">
        <f t="shared" si="3"/>
        <v>Completed</v>
      </c>
    </row>
    <row r="201" spans="1:15" x14ac:dyDescent="0.35">
      <c r="A201" s="2" t="s">
        <v>253</v>
      </c>
      <c r="B201" s="3">
        <v>45698</v>
      </c>
      <c r="C201" s="2" t="s">
        <v>49</v>
      </c>
      <c r="D201" s="2" t="s">
        <v>50</v>
      </c>
      <c r="E201" s="4">
        <v>15</v>
      </c>
      <c r="F201" s="4">
        <v>2</v>
      </c>
      <c r="G201" s="4">
        <v>30</v>
      </c>
      <c r="H201" s="2" t="s">
        <v>72</v>
      </c>
      <c r="I201" s="2" t="s">
        <v>68</v>
      </c>
      <c r="J201" s="2" t="s">
        <v>16</v>
      </c>
      <c r="K201" s="2" t="s">
        <v>40</v>
      </c>
      <c r="L201">
        <v>2</v>
      </c>
      <c r="M201">
        <v>2025</v>
      </c>
      <c r="N201" s="2" t="str">
        <v>2025-02</v>
      </c>
      <c r="O201" s="1" t="str">
        <f t="shared" si="3"/>
        <v>Completed</v>
      </c>
    </row>
    <row r="202" spans="1:15" x14ac:dyDescent="0.35">
      <c r="A202" s="2" t="s">
        <v>254</v>
      </c>
      <c r="B202" s="3">
        <v>45691</v>
      </c>
      <c r="C202" s="2" t="s">
        <v>49</v>
      </c>
      <c r="D202" s="2" t="s">
        <v>50</v>
      </c>
      <c r="E202" s="4">
        <v>15</v>
      </c>
      <c r="F202" s="4">
        <v>4</v>
      </c>
      <c r="G202" s="4">
        <v>60</v>
      </c>
      <c r="H202" s="2" t="s">
        <v>54</v>
      </c>
      <c r="I202" s="2" t="s">
        <v>22</v>
      </c>
      <c r="J202" s="2" t="s">
        <v>31</v>
      </c>
      <c r="K202" s="2" t="s">
        <v>40</v>
      </c>
      <c r="L202">
        <v>2</v>
      </c>
      <c r="M202">
        <v>2025</v>
      </c>
      <c r="N202" s="2" t="str">
        <v>2025-02</v>
      </c>
      <c r="O202" s="1" t="str">
        <f t="shared" si="3"/>
        <v>Completed</v>
      </c>
    </row>
    <row r="203" spans="1:15" x14ac:dyDescent="0.35">
      <c r="A203" s="2" t="s">
        <v>255</v>
      </c>
      <c r="B203" s="3">
        <v>45709</v>
      </c>
      <c r="C203" s="2" t="s">
        <v>42</v>
      </c>
      <c r="D203" s="2" t="s">
        <v>20</v>
      </c>
      <c r="E203" s="4">
        <v>500</v>
      </c>
      <c r="F203" s="4">
        <v>2</v>
      </c>
      <c r="G203" s="4">
        <v>1000</v>
      </c>
      <c r="H203" s="2" t="s">
        <v>57</v>
      </c>
      <c r="I203" s="2" t="s">
        <v>44</v>
      </c>
      <c r="J203" s="2" t="s">
        <v>31</v>
      </c>
      <c r="K203" s="2" t="s">
        <v>17</v>
      </c>
      <c r="L203">
        <v>2</v>
      </c>
      <c r="M203">
        <v>2025</v>
      </c>
      <c r="N203" s="2" t="str">
        <v>2025-02</v>
      </c>
      <c r="O203" s="1" t="str">
        <f t="shared" si="3"/>
        <v>Cancelled</v>
      </c>
    </row>
    <row r="204" spans="1:15" x14ac:dyDescent="0.35">
      <c r="A204" s="2" t="s">
        <v>256</v>
      </c>
      <c r="B204" s="3">
        <v>45709</v>
      </c>
      <c r="C204" s="2" t="s">
        <v>65</v>
      </c>
      <c r="D204" s="2" t="s">
        <v>61</v>
      </c>
      <c r="E204" s="4">
        <v>1200</v>
      </c>
      <c r="F204" s="4">
        <v>3</v>
      </c>
      <c r="G204" s="4">
        <v>3600</v>
      </c>
      <c r="H204" s="2" t="s">
        <v>25</v>
      </c>
      <c r="I204" s="2" t="s">
        <v>30</v>
      </c>
      <c r="J204" s="2" t="s">
        <v>16</v>
      </c>
      <c r="K204" s="2" t="s">
        <v>40</v>
      </c>
      <c r="L204">
        <v>2</v>
      </c>
      <c r="M204">
        <v>2025</v>
      </c>
      <c r="N204" s="2" t="str">
        <v>2025-02</v>
      </c>
      <c r="O204" s="1" t="str">
        <f t="shared" si="3"/>
        <v>Completed</v>
      </c>
    </row>
    <row r="205" spans="1:15" x14ac:dyDescent="0.35">
      <c r="A205" s="2" t="s">
        <v>257</v>
      </c>
      <c r="B205" s="3">
        <v>45724</v>
      </c>
      <c r="C205" s="2" t="s">
        <v>12</v>
      </c>
      <c r="D205" s="2" t="s">
        <v>13</v>
      </c>
      <c r="E205" s="4">
        <v>60</v>
      </c>
      <c r="F205" s="4">
        <v>5</v>
      </c>
      <c r="G205" s="4">
        <v>300</v>
      </c>
      <c r="H205" s="2" t="s">
        <v>80</v>
      </c>
      <c r="I205" s="2" t="s">
        <v>44</v>
      </c>
      <c r="J205" s="2" t="s">
        <v>58</v>
      </c>
      <c r="K205" s="2" t="s">
        <v>23</v>
      </c>
      <c r="L205">
        <v>3</v>
      </c>
      <c r="M205">
        <v>2025</v>
      </c>
      <c r="N205" s="2" t="str">
        <v>2025-03</v>
      </c>
      <c r="O205" s="1" t="str">
        <f t="shared" si="3"/>
        <v>Pending</v>
      </c>
    </row>
    <row r="206" spans="1:15" x14ac:dyDescent="0.35">
      <c r="A206" s="2" t="s">
        <v>258</v>
      </c>
      <c r="B206" s="3">
        <v>45715</v>
      </c>
      <c r="C206" s="2" t="s">
        <v>19</v>
      </c>
      <c r="D206" s="2" t="s">
        <v>20</v>
      </c>
      <c r="E206" s="4">
        <v>100</v>
      </c>
      <c r="F206" s="4">
        <v>2</v>
      </c>
      <c r="G206" s="4">
        <v>200</v>
      </c>
      <c r="H206" s="2" t="s">
        <v>51</v>
      </c>
      <c r="I206" s="2" t="s">
        <v>38</v>
      </c>
      <c r="J206" s="2" t="s">
        <v>39</v>
      </c>
      <c r="K206" s="2" t="s">
        <v>40</v>
      </c>
      <c r="L206">
        <v>2</v>
      </c>
      <c r="M206">
        <v>2025</v>
      </c>
      <c r="N206" s="2" t="str">
        <v>2025-02</v>
      </c>
      <c r="O206" s="1" t="str">
        <f t="shared" si="3"/>
        <v>Completed</v>
      </c>
    </row>
    <row r="207" spans="1:15" x14ac:dyDescent="0.35">
      <c r="A207" s="2" t="s">
        <v>259</v>
      </c>
      <c r="B207" s="3">
        <v>45700</v>
      </c>
      <c r="C207" s="2" t="s">
        <v>60</v>
      </c>
      <c r="D207" s="2" t="s">
        <v>61</v>
      </c>
      <c r="E207" s="4">
        <v>600</v>
      </c>
      <c r="F207" s="4">
        <v>5</v>
      </c>
      <c r="G207" s="4">
        <v>3000</v>
      </c>
      <c r="H207" s="2" t="s">
        <v>14</v>
      </c>
      <c r="I207" s="2" t="s">
        <v>44</v>
      </c>
      <c r="J207" s="2" t="s">
        <v>27</v>
      </c>
      <c r="K207" s="2" t="s">
        <v>23</v>
      </c>
      <c r="L207">
        <v>2</v>
      </c>
      <c r="M207">
        <v>2025</v>
      </c>
      <c r="N207" s="2" t="str">
        <v>2025-02</v>
      </c>
      <c r="O207" s="1" t="str">
        <f t="shared" si="3"/>
        <v>Pending</v>
      </c>
    </row>
    <row r="208" spans="1:15" x14ac:dyDescent="0.35">
      <c r="A208" s="2" t="s">
        <v>260</v>
      </c>
      <c r="B208" s="3">
        <v>45737</v>
      </c>
      <c r="C208" s="2" t="s">
        <v>60</v>
      </c>
      <c r="D208" s="2" t="s">
        <v>61</v>
      </c>
      <c r="E208" s="4">
        <v>600</v>
      </c>
      <c r="F208" s="4">
        <v>1</v>
      </c>
      <c r="G208" s="4">
        <v>600</v>
      </c>
      <c r="H208" s="2" t="s">
        <v>25</v>
      </c>
      <c r="I208" s="2" t="s">
        <v>44</v>
      </c>
      <c r="J208" s="2" t="s">
        <v>31</v>
      </c>
      <c r="K208" s="2" t="s">
        <v>40</v>
      </c>
      <c r="L208">
        <v>3</v>
      </c>
      <c r="M208">
        <v>2025</v>
      </c>
      <c r="N208" s="2" t="str">
        <v>2025-03</v>
      </c>
      <c r="O208" s="1" t="str">
        <f t="shared" si="3"/>
        <v>Completed</v>
      </c>
    </row>
    <row r="209" spans="1:15" x14ac:dyDescent="0.35">
      <c r="A209" s="2" t="s">
        <v>261</v>
      </c>
      <c r="B209" s="3">
        <v>45690</v>
      </c>
      <c r="C209" s="2" t="s">
        <v>65</v>
      </c>
      <c r="D209" s="2" t="s">
        <v>61</v>
      </c>
      <c r="E209" s="4">
        <v>1200</v>
      </c>
      <c r="F209" s="4">
        <v>3</v>
      </c>
      <c r="G209" s="4">
        <v>3600</v>
      </c>
      <c r="H209" s="2" t="s">
        <v>25</v>
      </c>
      <c r="I209" s="2" t="s">
        <v>44</v>
      </c>
      <c r="J209" s="2" t="s">
        <v>39</v>
      </c>
      <c r="K209" s="2" t="s">
        <v>40</v>
      </c>
      <c r="L209">
        <v>2</v>
      </c>
      <c r="M209">
        <v>2025</v>
      </c>
      <c r="N209" s="2" t="str">
        <v>2025-02</v>
      </c>
      <c r="O209" s="1" t="str">
        <f t="shared" si="3"/>
        <v>Completed</v>
      </c>
    </row>
    <row r="210" spans="1:15" x14ac:dyDescent="0.35">
      <c r="A210" s="2" t="s">
        <v>262</v>
      </c>
      <c r="B210" s="3">
        <v>45745</v>
      </c>
      <c r="C210" s="2" t="s">
        <v>53</v>
      </c>
      <c r="D210" s="2" t="s">
        <v>36</v>
      </c>
      <c r="E210" s="4">
        <v>40</v>
      </c>
      <c r="F210" s="4">
        <v>5</v>
      </c>
      <c r="G210" s="4">
        <v>200</v>
      </c>
      <c r="H210" s="2" t="s">
        <v>57</v>
      </c>
      <c r="I210" s="2" t="s">
        <v>30</v>
      </c>
      <c r="J210" s="2" t="s">
        <v>39</v>
      </c>
      <c r="K210" s="2" t="s">
        <v>40</v>
      </c>
      <c r="L210">
        <v>3</v>
      </c>
      <c r="M210">
        <v>2025</v>
      </c>
      <c r="N210" s="2" t="str">
        <v>2025-03</v>
      </c>
      <c r="O210" s="1" t="str">
        <f t="shared" si="3"/>
        <v>Completed</v>
      </c>
    </row>
    <row r="211" spans="1:15" x14ac:dyDescent="0.35">
      <c r="A211" s="2" t="s">
        <v>263</v>
      </c>
      <c r="B211" s="3">
        <v>45739</v>
      </c>
      <c r="C211" s="2" t="s">
        <v>56</v>
      </c>
      <c r="D211" s="2" t="s">
        <v>20</v>
      </c>
      <c r="E211" s="4">
        <v>800</v>
      </c>
      <c r="F211" s="4">
        <v>3</v>
      </c>
      <c r="G211" s="4">
        <v>2400</v>
      </c>
      <c r="H211" s="2" t="s">
        <v>80</v>
      </c>
      <c r="I211" s="2" t="s">
        <v>15</v>
      </c>
      <c r="J211" s="2" t="s">
        <v>39</v>
      </c>
      <c r="K211" s="2" t="s">
        <v>40</v>
      </c>
      <c r="L211">
        <v>3</v>
      </c>
      <c r="M211">
        <v>2025</v>
      </c>
      <c r="N211" s="2" t="str">
        <v>2025-03</v>
      </c>
      <c r="O211" s="1" t="str">
        <f t="shared" si="3"/>
        <v>Completed</v>
      </c>
    </row>
    <row r="212" spans="1:15" x14ac:dyDescent="0.35">
      <c r="A212" s="2" t="s">
        <v>264</v>
      </c>
      <c r="B212" s="3">
        <v>45729</v>
      </c>
      <c r="C212" s="2" t="s">
        <v>42</v>
      </c>
      <c r="D212" s="2" t="s">
        <v>20</v>
      </c>
      <c r="E212" s="4">
        <v>500</v>
      </c>
      <c r="F212" s="4">
        <v>1</v>
      </c>
      <c r="G212" s="4">
        <v>500</v>
      </c>
      <c r="H212" s="2" t="s">
        <v>51</v>
      </c>
      <c r="I212" s="2" t="s">
        <v>44</v>
      </c>
      <c r="J212" s="2" t="s">
        <v>58</v>
      </c>
      <c r="K212" s="2" t="s">
        <v>23</v>
      </c>
      <c r="L212">
        <v>3</v>
      </c>
      <c r="M212">
        <v>2025</v>
      </c>
      <c r="N212" s="2" t="str">
        <v>2025-03</v>
      </c>
      <c r="O212" s="1" t="str">
        <f t="shared" si="3"/>
        <v>Pending</v>
      </c>
    </row>
    <row r="213" spans="1:15" x14ac:dyDescent="0.35">
      <c r="A213" s="2" t="s">
        <v>265</v>
      </c>
      <c r="B213" s="3">
        <v>45725</v>
      </c>
      <c r="C213" s="2" t="s">
        <v>35</v>
      </c>
      <c r="D213" s="2" t="s">
        <v>36</v>
      </c>
      <c r="E213" s="4">
        <v>20</v>
      </c>
      <c r="F213" s="4">
        <v>4</v>
      </c>
      <c r="G213" s="4">
        <v>80</v>
      </c>
      <c r="H213" s="2" t="s">
        <v>14</v>
      </c>
      <c r="I213" s="2" t="s">
        <v>38</v>
      </c>
      <c r="J213" s="2" t="s">
        <v>16</v>
      </c>
      <c r="K213" s="2" t="s">
        <v>40</v>
      </c>
      <c r="L213">
        <v>3</v>
      </c>
      <c r="M213">
        <v>2025</v>
      </c>
      <c r="N213" s="2" t="str">
        <v>2025-03</v>
      </c>
      <c r="O213" s="1" t="str">
        <f t="shared" si="3"/>
        <v>Completed</v>
      </c>
    </row>
    <row r="214" spans="1:15" x14ac:dyDescent="0.35">
      <c r="A214" s="2" t="s">
        <v>266</v>
      </c>
      <c r="B214" s="3">
        <v>45694</v>
      </c>
      <c r="C214" s="2" t="s">
        <v>56</v>
      </c>
      <c r="D214" s="2" t="s">
        <v>20</v>
      </c>
      <c r="E214" s="4">
        <v>800</v>
      </c>
      <c r="F214" s="4">
        <v>1</v>
      </c>
      <c r="G214" s="4">
        <v>800</v>
      </c>
      <c r="H214" s="2" t="s">
        <v>80</v>
      </c>
      <c r="I214" s="2" t="s">
        <v>68</v>
      </c>
      <c r="J214" s="2" t="s">
        <v>27</v>
      </c>
      <c r="K214" s="2" t="s">
        <v>17</v>
      </c>
      <c r="L214">
        <v>2</v>
      </c>
      <c r="M214">
        <v>2025</v>
      </c>
      <c r="N214" s="2" t="str">
        <v>2025-02</v>
      </c>
      <c r="O214" s="1" t="str">
        <f t="shared" si="3"/>
        <v>Cancelled</v>
      </c>
    </row>
    <row r="215" spans="1:15" x14ac:dyDescent="0.35">
      <c r="A215" s="2" t="s">
        <v>267</v>
      </c>
      <c r="B215" s="3">
        <v>45706</v>
      </c>
      <c r="C215" s="2" t="s">
        <v>33</v>
      </c>
      <c r="D215" s="2" t="s">
        <v>20</v>
      </c>
      <c r="E215" s="4">
        <v>150</v>
      </c>
      <c r="F215" s="4">
        <v>5</v>
      </c>
      <c r="G215" s="4">
        <v>750</v>
      </c>
      <c r="H215" s="2" t="s">
        <v>21</v>
      </c>
      <c r="I215" s="2" t="s">
        <v>38</v>
      </c>
      <c r="J215" s="2" t="s">
        <v>16</v>
      </c>
      <c r="K215" s="2" t="s">
        <v>40</v>
      </c>
      <c r="L215">
        <v>2</v>
      </c>
      <c r="M215">
        <v>2025</v>
      </c>
      <c r="N215" s="2" t="str">
        <v>2025-02</v>
      </c>
      <c r="O215" s="1" t="str">
        <f t="shared" si="3"/>
        <v>Completed</v>
      </c>
    </row>
    <row r="216" spans="1:15" x14ac:dyDescent="0.35">
      <c r="A216" s="2" t="s">
        <v>268</v>
      </c>
      <c r="B216" s="3">
        <v>45723</v>
      </c>
      <c r="C216" s="2" t="s">
        <v>12</v>
      </c>
      <c r="D216" s="2" t="s">
        <v>13</v>
      </c>
      <c r="E216" s="4">
        <v>60</v>
      </c>
      <c r="F216" s="4">
        <v>1</v>
      </c>
      <c r="G216" s="4">
        <v>60</v>
      </c>
      <c r="H216" s="2" t="s">
        <v>14</v>
      </c>
      <c r="I216" s="2" t="s">
        <v>38</v>
      </c>
      <c r="J216" s="2" t="s">
        <v>39</v>
      </c>
      <c r="K216" s="2" t="s">
        <v>40</v>
      </c>
      <c r="L216">
        <v>3</v>
      </c>
      <c r="M216">
        <v>2025</v>
      </c>
      <c r="N216" s="2" t="str">
        <v>2025-03</v>
      </c>
      <c r="O216" s="1" t="str">
        <f t="shared" si="3"/>
        <v>Completed</v>
      </c>
    </row>
    <row r="217" spans="1:15" x14ac:dyDescent="0.35">
      <c r="A217" s="2" t="s">
        <v>269</v>
      </c>
      <c r="B217" s="3">
        <v>45742</v>
      </c>
      <c r="C217" s="2" t="s">
        <v>53</v>
      </c>
      <c r="D217" s="2" t="s">
        <v>36</v>
      </c>
      <c r="E217" s="4">
        <v>40</v>
      </c>
      <c r="F217" s="4">
        <v>2</v>
      </c>
      <c r="G217" s="4">
        <v>80</v>
      </c>
      <c r="H217" s="2" t="s">
        <v>72</v>
      </c>
      <c r="I217" s="2" t="s">
        <v>81</v>
      </c>
      <c r="J217" s="2" t="s">
        <v>31</v>
      </c>
      <c r="K217" s="2" t="s">
        <v>40</v>
      </c>
      <c r="L217">
        <v>3</v>
      </c>
      <c r="M217">
        <v>2025</v>
      </c>
      <c r="N217" s="2" t="str">
        <v>2025-03</v>
      </c>
      <c r="O217" s="1" t="str">
        <f t="shared" si="3"/>
        <v>Completed</v>
      </c>
    </row>
    <row r="218" spans="1:15" x14ac:dyDescent="0.35">
      <c r="A218" s="2" t="s">
        <v>270</v>
      </c>
      <c r="B218" s="3">
        <v>45735</v>
      </c>
      <c r="C218" s="2" t="s">
        <v>12</v>
      </c>
      <c r="D218" s="2" t="s">
        <v>13</v>
      </c>
      <c r="E218" s="4">
        <v>60</v>
      </c>
      <c r="F218" s="4">
        <v>2</v>
      </c>
      <c r="G218" s="4">
        <v>120</v>
      </c>
      <c r="H218" s="2" t="s">
        <v>14</v>
      </c>
      <c r="I218" s="2" t="s">
        <v>46</v>
      </c>
      <c r="J218" s="2" t="s">
        <v>58</v>
      </c>
      <c r="K218" s="2" t="s">
        <v>23</v>
      </c>
      <c r="L218">
        <v>3</v>
      </c>
      <c r="M218">
        <v>2025</v>
      </c>
      <c r="N218" s="2" t="str">
        <v>2025-03</v>
      </c>
      <c r="O218" s="1" t="str">
        <f t="shared" si="3"/>
        <v>Pending</v>
      </c>
    </row>
    <row r="219" spans="1:15" x14ac:dyDescent="0.35">
      <c r="A219" s="2" t="s">
        <v>271</v>
      </c>
      <c r="B219" s="3">
        <v>45703</v>
      </c>
      <c r="C219" s="2" t="s">
        <v>19</v>
      </c>
      <c r="D219" s="2" t="s">
        <v>20</v>
      </c>
      <c r="E219" s="4">
        <v>100</v>
      </c>
      <c r="F219" s="4">
        <v>4</v>
      </c>
      <c r="G219" s="4">
        <v>400</v>
      </c>
      <c r="H219" s="2" t="s">
        <v>57</v>
      </c>
      <c r="I219" s="2" t="s">
        <v>15</v>
      </c>
      <c r="J219" s="2" t="s">
        <v>58</v>
      </c>
      <c r="K219" s="2" t="s">
        <v>17</v>
      </c>
      <c r="L219">
        <v>2</v>
      </c>
      <c r="M219">
        <v>2025</v>
      </c>
      <c r="N219" s="2" t="str">
        <v>2025-02</v>
      </c>
      <c r="O219" s="1" t="str">
        <f t="shared" si="3"/>
        <v>Cancelled</v>
      </c>
    </row>
    <row r="220" spans="1:15" x14ac:dyDescent="0.35">
      <c r="A220" s="2" t="s">
        <v>272</v>
      </c>
      <c r="B220" s="3">
        <v>45705</v>
      </c>
      <c r="C220" s="2" t="s">
        <v>19</v>
      </c>
      <c r="D220" s="2" t="s">
        <v>20</v>
      </c>
      <c r="E220" s="4">
        <v>100</v>
      </c>
      <c r="F220" s="4">
        <v>3</v>
      </c>
      <c r="G220" s="4">
        <v>300</v>
      </c>
      <c r="H220" s="2" t="s">
        <v>51</v>
      </c>
      <c r="I220" s="2" t="s">
        <v>38</v>
      </c>
      <c r="J220" s="2" t="s">
        <v>39</v>
      </c>
      <c r="K220" s="2" t="s">
        <v>17</v>
      </c>
      <c r="L220">
        <v>2</v>
      </c>
      <c r="M220">
        <v>2025</v>
      </c>
      <c r="N220" s="2" t="str">
        <v>2025-02</v>
      </c>
      <c r="O220" s="1" t="str">
        <f t="shared" si="3"/>
        <v>Cancelled</v>
      </c>
    </row>
    <row r="221" spans="1:15" x14ac:dyDescent="0.35">
      <c r="A221" s="2" t="s">
        <v>273</v>
      </c>
      <c r="B221" s="3">
        <v>45698</v>
      </c>
      <c r="C221" s="2" t="s">
        <v>33</v>
      </c>
      <c r="D221" s="2" t="s">
        <v>20</v>
      </c>
      <c r="E221" s="4">
        <v>150</v>
      </c>
      <c r="F221" s="4">
        <v>3</v>
      </c>
      <c r="G221" s="4">
        <v>450</v>
      </c>
      <c r="H221" s="2" t="s">
        <v>54</v>
      </c>
      <c r="I221" s="2" t="s">
        <v>26</v>
      </c>
      <c r="J221" s="2" t="s">
        <v>16</v>
      </c>
      <c r="K221" s="2" t="s">
        <v>40</v>
      </c>
      <c r="L221">
        <v>2</v>
      </c>
      <c r="M221">
        <v>2025</v>
      </c>
      <c r="N221" s="2" t="str">
        <v>2025-02</v>
      </c>
      <c r="O221" s="1" t="str">
        <f t="shared" si="3"/>
        <v>Completed</v>
      </c>
    </row>
    <row r="222" spans="1:15" x14ac:dyDescent="0.35">
      <c r="A222" s="2" t="s">
        <v>274</v>
      </c>
      <c r="B222" s="3">
        <v>45716</v>
      </c>
      <c r="C222" s="2" t="s">
        <v>60</v>
      </c>
      <c r="D222" s="2" t="s">
        <v>61</v>
      </c>
      <c r="E222" s="4">
        <v>600</v>
      </c>
      <c r="F222" s="4">
        <v>2</v>
      </c>
      <c r="G222" s="4">
        <v>1200</v>
      </c>
      <c r="H222" s="2" t="s">
        <v>21</v>
      </c>
      <c r="I222" s="2" t="s">
        <v>81</v>
      </c>
      <c r="J222" s="2" t="s">
        <v>58</v>
      </c>
      <c r="K222" s="2" t="s">
        <v>17</v>
      </c>
      <c r="L222">
        <v>2</v>
      </c>
      <c r="M222">
        <v>2025</v>
      </c>
      <c r="N222" s="2" t="str">
        <v>2025-02</v>
      </c>
      <c r="O222" s="1" t="str">
        <f t="shared" si="3"/>
        <v>Cancelled</v>
      </c>
    </row>
    <row r="223" spans="1:15" x14ac:dyDescent="0.35">
      <c r="A223" s="2" t="s">
        <v>275</v>
      </c>
      <c r="B223" s="3">
        <v>45704</v>
      </c>
      <c r="C223" s="2" t="s">
        <v>60</v>
      </c>
      <c r="D223" s="2" t="s">
        <v>61</v>
      </c>
      <c r="E223" s="4">
        <v>600</v>
      </c>
      <c r="F223" s="4">
        <v>2</v>
      </c>
      <c r="G223" s="4">
        <v>1200</v>
      </c>
      <c r="H223" s="2" t="s">
        <v>72</v>
      </c>
      <c r="I223" s="2" t="s">
        <v>63</v>
      </c>
      <c r="J223" s="2" t="s">
        <v>39</v>
      </c>
      <c r="K223" s="2" t="s">
        <v>17</v>
      </c>
      <c r="L223">
        <v>2</v>
      </c>
      <c r="M223">
        <v>2025</v>
      </c>
      <c r="N223" s="2" t="str">
        <v>2025-02</v>
      </c>
      <c r="O223" s="1" t="str">
        <f t="shared" si="3"/>
        <v>Cancelled</v>
      </c>
    </row>
    <row r="224" spans="1:15" x14ac:dyDescent="0.35">
      <c r="A224" s="2" t="s">
        <v>276</v>
      </c>
      <c r="B224" s="3">
        <v>45740</v>
      </c>
      <c r="C224" s="2" t="s">
        <v>53</v>
      </c>
      <c r="D224" s="2" t="s">
        <v>36</v>
      </c>
      <c r="E224" s="4">
        <v>40</v>
      </c>
      <c r="F224" s="4">
        <v>2</v>
      </c>
      <c r="G224" s="4">
        <v>80</v>
      </c>
      <c r="H224" s="2" t="s">
        <v>51</v>
      </c>
      <c r="I224" s="2" t="s">
        <v>26</v>
      </c>
      <c r="J224" s="2" t="s">
        <v>27</v>
      </c>
      <c r="K224" s="2" t="s">
        <v>17</v>
      </c>
      <c r="L224">
        <v>3</v>
      </c>
      <c r="M224">
        <v>2025</v>
      </c>
      <c r="N224" s="2" t="str">
        <v>2025-03</v>
      </c>
      <c r="O224" s="1" t="str">
        <f t="shared" si="3"/>
        <v>Cancelled</v>
      </c>
    </row>
    <row r="225" spans="1:15" x14ac:dyDescent="0.35">
      <c r="A225" s="2" t="s">
        <v>277</v>
      </c>
      <c r="B225" s="3">
        <v>45734</v>
      </c>
      <c r="C225" s="2" t="s">
        <v>65</v>
      </c>
      <c r="D225" s="2" t="s">
        <v>61</v>
      </c>
      <c r="E225" s="4">
        <v>1200</v>
      </c>
      <c r="F225" s="4">
        <v>1</v>
      </c>
      <c r="G225" s="4">
        <v>1200</v>
      </c>
      <c r="H225" s="2" t="s">
        <v>80</v>
      </c>
      <c r="I225" s="2" t="s">
        <v>44</v>
      </c>
      <c r="J225" s="2" t="s">
        <v>39</v>
      </c>
      <c r="K225" s="2" t="s">
        <v>40</v>
      </c>
      <c r="L225">
        <v>3</v>
      </c>
      <c r="M225">
        <v>2025</v>
      </c>
      <c r="N225" s="2" t="str">
        <v>2025-03</v>
      </c>
      <c r="O225" s="1" t="str">
        <f t="shared" si="3"/>
        <v>Completed</v>
      </c>
    </row>
    <row r="226" spans="1:15" x14ac:dyDescent="0.35">
      <c r="A226" s="2" t="s">
        <v>278</v>
      </c>
      <c r="B226" s="3">
        <v>45727</v>
      </c>
      <c r="C226" s="2" t="s">
        <v>53</v>
      </c>
      <c r="D226" s="2" t="s">
        <v>36</v>
      </c>
      <c r="E226" s="4">
        <v>40</v>
      </c>
      <c r="F226" s="4">
        <v>1</v>
      </c>
      <c r="G226" s="4">
        <v>40</v>
      </c>
      <c r="H226" s="2" t="s">
        <v>43</v>
      </c>
      <c r="I226" s="2" t="s">
        <v>15</v>
      </c>
      <c r="J226" s="2" t="s">
        <v>58</v>
      </c>
      <c r="K226" s="2" t="s">
        <v>17</v>
      </c>
      <c r="L226">
        <v>3</v>
      </c>
      <c r="M226">
        <v>2025</v>
      </c>
      <c r="N226" s="2" t="str">
        <v>2025-03</v>
      </c>
      <c r="O226" s="1" t="str">
        <f t="shared" si="3"/>
        <v>Cancelled</v>
      </c>
    </row>
    <row r="227" spans="1:15" x14ac:dyDescent="0.35">
      <c r="A227" s="2" t="s">
        <v>279</v>
      </c>
      <c r="B227" s="3">
        <v>45721</v>
      </c>
      <c r="C227" s="2" t="s">
        <v>12</v>
      </c>
      <c r="D227" s="2" t="s">
        <v>13</v>
      </c>
      <c r="E227" s="4">
        <v>60</v>
      </c>
      <c r="F227" s="4">
        <v>4</v>
      </c>
      <c r="G227" s="4">
        <v>240</v>
      </c>
      <c r="H227" s="2" t="s">
        <v>72</v>
      </c>
      <c r="I227" s="2" t="s">
        <v>81</v>
      </c>
      <c r="J227" s="2" t="s">
        <v>27</v>
      </c>
      <c r="K227" s="2" t="s">
        <v>40</v>
      </c>
      <c r="L227">
        <v>3</v>
      </c>
      <c r="M227">
        <v>2025</v>
      </c>
      <c r="N227" s="2" t="str">
        <v>2025-03</v>
      </c>
      <c r="O227" s="1" t="str">
        <f t="shared" si="3"/>
        <v>Completed</v>
      </c>
    </row>
    <row r="228" spans="1:15" x14ac:dyDescent="0.35">
      <c r="A228" s="2" t="s">
        <v>280</v>
      </c>
      <c r="B228" s="3">
        <v>45749</v>
      </c>
      <c r="C228" s="2" t="s">
        <v>19</v>
      </c>
      <c r="D228" s="2" t="s">
        <v>20</v>
      </c>
      <c r="E228" s="4">
        <v>100</v>
      </c>
      <c r="F228" s="4">
        <v>5</v>
      </c>
      <c r="G228" s="4">
        <v>500</v>
      </c>
      <c r="H228" s="2" t="s">
        <v>14</v>
      </c>
      <c r="I228" s="2" t="s">
        <v>44</v>
      </c>
      <c r="J228" s="2" t="s">
        <v>27</v>
      </c>
      <c r="K228" s="2" t="s">
        <v>17</v>
      </c>
      <c r="L228">
        <v>4</v>
      </c>
      <c r="M228">
        <v>2025</v>
      </c>
      <c r="N228" s="2" t="str">
        <v>2025-04</v>
      </c>
      <c r="O228" s="1" t="str">
        <f t="shared" si="3"/>
        <v>Cancelled</v>
      </c>
    </row>
    <row r="229" spans="1:15" x14ac:dyDescent="0.35">
      <c r="A229" s="2" t="s">
        <v>281</v>
      </c>
      <c r="B229" s="3">
        <v>45700</v>
      </c>
      <c r="C229" s="2" t="s">
        <v>12</v>
      </c>
      <c r="D229" s="2" t="s">
        <v>13</v>
      </c>
      <c r="E229" s="4">
        <v>60</v>
      </c>
      <c r="F229" s="4">
        <v>1</v>
      </c>
      <c r="G229" s="4">
        <v>60</v>
      </c>
      <c r="H229" s="2" t="s">
        <v>51</v>
      </c>
      <c r="I229" s="2" t="s">
        <v>22</v>
      </c>
      <c r="J229" s="2" t="s">
        <v>31</v>
      </c>
      <c r="K229" s="2" t="s">
        <v>23</v>
      </c>
      <c r="L229">
        <v>2</v>
      </c>
      <c r="M229">
        <v>2025</v>
      </c>
      <c r="N229" s="2" t="str">
        <v>2025-02</v>
      </c>
      <c r="O229" s="1" t="str">
        <f t="shared" si="3"/>
        <v>Pending</v>
      </c>
    </row>
    <row r="230" spans="1:15" x14ac:dyDescent="0.35">
      <c r="A230" s="2" t="s">
        <v>282</v>
      </c>
      <c r="B230" s="3">
        <v>45737</v>
      </c>
      <c r="C230" s="2" t="s">
        <v>12</v>
      </c>
      <c r="D230" s="2" t="s">
        <v>13</v>
      </c>
      <c r="E230" s="4">
        <v>60</v>
      </c>
      <c r="F230" s="4">
        <v>3</v>
      </c>
      <c r="G230" s="4">
        <v>180</v>
      </c>
      <c r="H230" s="2" t="s">
        <v>14</v>
      </c>
      <c r="I230" s="2" t="s">
        <v>22</v>
      </c>
      <c r="J230" s="2" t="s">
        <v>31</v>
      </c>
      <c r="K230" s="2" t="s">
        <v>23</v>
      </c>
      <c r="L230">
        <v>3</v>
      </c>
      <c r="M230">
        <v>2025</v>
      </c>
      <c r="N230" s="2" t="str">
        <v>2025-03</v>
      </c>
      <c r="O230" s="1" t="str">
        <f t="shared" si="3"/>
        <v>Pending</v>
      </c>
    </row>
    <row r="231" spans="1:15" x14ac:dyDescent="0.35">
      <c r="A231" s="2" t="s">
        <v>283</v>
      </c>
      <c r="B231" s="3">
        <v>45747</v>
      </c>
      <c r="C231" s="2" t="s">
        <v>19</v>
      </c>
      <c r="D231" s="2" t="s">
        <v>20</v>
      </c>
      <c r="E231" s="4">
        <v>100</v>
      </c>
      <c r="F231" s="4">
        <v>4</v>
      </c>
      <c r="G231" s="4">
        <v>400</v>
      </c>
      <c r="H231" s="2" t="s">
        <v>80</v>
      </c>
      <c r="I231" s="2" t="s">
        <v>22</v>
      </c>
      <c r="J231" s="2" t="s">
        <v>27</v>
      </c>
      <c r="K231" s="2" t="s">
        <v>23</v>
      </c>
      <c r="L231">
        <v>3</v>
      </c>
      <c r="M231">
        <v>2025</v>
      </c>
      <c r="N231" s="2" t="str">
        <v>2025-03</v>
      </c>
      <c r="O231" s="1" t="str">
        <f t="shared" si="3"/>
        <v>Pending</v>
      </c>
    </row>
    <row r="232" spans="1:15" x14ac:dyDescent="0.35">
      <c r="A232" s="2" t="s">
        <v>284</v>
      </c>
      <c r="B232" s="3">
        <v>45704</v>
      </c>
      <c r="C232" s="2" t="s">
        <v>56</v>
      </c>
      <c r="D232" s="2" t="s">
        <v>20</v>
      </c>
      <c r="E232" s="4">
        <v>800</v>
      </c>
      <c r="F232" s="4">
        <v>5</v>
      </c>
      <c r="G232" s="4">
        <v>4000</v>
      </c>
      <c r="H232" s="2" t="s">
        <v>80</v>
      </c>
      <c r="I232" s="2" t="s">
        <v>46</v>
      </c>
      <c r="J232" s="2" t="s">
        <v>31</v>
      </c>
      <c r="K232" s="2" t="s">
        <v>17</v>
      </c>
      <c r="L232">
        <v>2</v>
      </c>
      <c r="M232">
        <v>2025</v>
      </c>
      <c r="N232" s="2" t="str">
        <v>2025-02</v>
      </c>
      <c r="O232" s="1" t="str">
        <f t="shared" si="3"/>
        <v>Cancelled</v>
      </c>
    </row>
    <row r="233" spans="1:15" x14ac:dyDescent="0.35">
      <c r="A233" s="2" t="s">
        <v>285</v>
      </c>
      <c r="B233" s="3">
        <v>45730</v>
      </c>
      <c r="C233" s="2" t="s">
        <v>65</v>
      </c>
      <c r="D233" s="2" t="s">
        <v>61</v>
      </c>
      <c r="E233" s="4">
        <v>1200</v>
      </c>
      <c r="F233" s="4">
        <v>3</v>
      </c>
      <c r="G233" s="4">
        <v>3600</v>
      </c>
      <c r="H233" s="2" t="s">
        <v>14</v>
      </c>
      <c r="I233" s="2" t="s">
        <v>68</v>
      </c>
      <c r="J233" s="2" t="s">
        <v>31</v>
      </c>
      <c r="K233" s="2" t="s">
        <v>40</v>
      </c>
      <c r="L233">
        <v>3</v>
      </c>
      <c r="M233">
        <v>2025</v>
      </c>
      <c r="N233" s="2" t="str">
        <v>2025-03</v>
      </c>
      <c r="O233" s="1" t="str">
        <f t="shared" si="3"/>
        <v>Completed</v>
      </c>
    </row>
    <row r="234" spans="1:15" x14ac:dyDescent="0.35">
      <c r="A234" s="2" t="s">
        <v>286</v>
      </c>
      <c r="B234" s="3">
        <v>45708</v>
      </c>
      <c r="C234" s="2" t="s">
        <v>12</v>
      </c>
      <c r="D234" s="2" t="s">
        <v>13</v>
      </c>
      <c r="E234" s="4">
        <v>60</v>
      </c>
      <c r="F234" s="4">
        <v>1</v>
      </c>
      <c r="G234" s="4">
        <v>60</v>
      </c>
      <c r="H234" s="2" t="s">
        <v>51</v>
      </c>
      <c r="I234" s="2" t="s">
        <v>46</v>
      </c>
      <c r="J234" s="2" t="s">
        <v>39</v>
      </c>
      <c r="K234" s="2" t="s">
        <v>17</v>
      </c>
      <c r="L234">
        <v>2</v>
      </c>
      <c r="M234">
        <v>2025</v>
      </c>
      <c r="N234" s="2" t="str">
        <v>2025-02</v>
      </c>
      <c r="O234" s="1" t="str">
        <f t="shared" si="3"/>
        <v>Cancelled</v>
      </c>
    </row>
    <row r="235" spans="1:15" x14ac:dyDescent="0.35">
      <c r="A235" s="2" t="s">
        <v>287</v>
      </c>
      <c r="B235" s="3">
        <v>45724</v>
      </c>
      <c r="C235" s="2" t="s">
        <v>49</v>
      </c>
      <c r="D235" s="2" t="s">
        <v>50</v>
      </c>
      <c r="E235" s="4">
        <v>15</v>
      </c>
      <c r="F235" s="4">
        <v>1</v>
      </c>
      <c r="G235" s="4">
        <v>15</v>
      </c>
      <c r="H235" s="2" t="s">
        <v>80</v>
      </c>
      <c r="I235" s="2" t="s">
        <v>44</v>
      </c>
      <c r="J235" s="2" t="s">
        <v>27</v>
      </c>
      <c r="K235" s="2" t="s">
        <v>17</v>
      </c>
      <c r="L235">
        <v>3</v>
      </c>
      <c r="M235">
        <v>2025</v>
      </c>
      <c r="N235" s="2" t="str">
        <v>2025-03</v>
      </c>
      <c r="O235" s="1" t="str">
        <f t="shared" si="3"/>
        <v>Cancelled</v>
      </c>
    </row>
    <row r="236" spans="1:15" x14ac:dyDescent="0.35">
      <c r="A236" s="2" t="s">
        <v>288</v>
      </c>
      <c r="B236" s="3">
        <v>45739</v>
      </c>
      <c r="C236" s="2" t="s">
        <v>65</v>
      </c>
      <c r="D236" s="2" t="s">
        <v>61</v>
      </c>
      <c r="E236" s="4">
        <v>1200</v>
      </c>
      <c r="F236" s="4">
        <v>1</v>
      </c>
      <c r="G236" s="4">
        <v>1200</v>
      </c>
      <c r="H236" s="2" t="s">
        <v>57</v>
      </c>
      <c r="I236" s="2" t="s">
        <v>30</v>
      </c>
      <c r="J236" s="2" t="s">
        <v>39</v>
      </c>
      <c r="K236" s="2" t="s">
        <v>40</v>
      </c>
      <c r="L236">
        <v>3</v>
      </c>
      <c r="M236">
        <v>2025</v>
      </c>
      <c r="N236" s="2" t="str">
        <v>2025-03</v>
      </c>
      <c r="O236" s="1" t="str">
        <f t="shared" si="3"/>
        <v>Completed</v>
      </c>
    </row>
    <row r="237" spans="1:15" x14ac:dyDescent="0.35">
      <c r="A237" s="2" t="s">
        <v>289</v>
      </c>
      <c r="B237" s="3">
        <v>45721</v>
      </c>
      <c r="C237" s="2" t="s">
        <v>42</v>
      </c>
      <c r="D237" s="2" t="s">
        <v>20</v>
      </c>
      <c r="E237" s="4">
        <v>500</v>
      </c>
      <c r="F237" s="4">
        <v>5</v>
      </c>
      <c r="G237" s="4">
        <v>2500</v>
      </c>
      <c r="H237" s="2" t="s">
        <v>25</v>
      </c>
      <c r="I237" s="2" t="s">
        <v>46</v>
      </c>
      <c r="J237" s="2" t="s">
        <v>39</v>
      </c>
      <c r="K237" s="2" t="s">
        <v>40</v>
      </c>
      <c r="L237">
        <v>3</v>
      </c>
      <c r="M237">
        <v>2025</v>
      </c>
      <c r="N237" s="2" t="str">
        <v>2025-03</v>
      </c>
      <c r="O237" s="1" t="str">
        <f t="shared" si="3"/>
        <v>Completed</v>
      </c>
    </row>
    <row r="238" spans="1:15" x14ac:dyDescent="0.35">
      <c r="A238" s="2" t="s">
        <v>290</v>
      </c>
      <c r="B238" s="3">
        <v>45699</v>
      </c>
      <c r="C238" s="2" t="s">
        <v>19</v>
      </c>
      <c r="D238" s="2" t="s">
        <v>20</v>
      </c>
      <c r="E238" s="4">
        <v>100</v>
      </c>
      <c r="F238" s="4">
        <v>3</v>
      </c>
      <c r="G238" s="4">
        <v>300</v>
      </c>
      <c r="H238" s="2" t="s">
        <v>54</v>
      </c>
      <c r="I238" s="2" t="s">
        <v>38</v>
      </c>
      <c r="J238" s="2" t="s">
        <v>16</v>
      </c>
      <c r="K238" s="2" t="s">
        <v>17</v>
      </c>
      <c r="L238">
        <v>2</v>
      </c>
      <c r="M238">
        <v>2025</v>
      </c>
      <c r="N238" s="2" t="str">
        <v>2025-02</v>
      </c>
      <c r="O238" s="1" t="str">
        <f t="shared" si="3"/>
        <v>Cancelled</v>
      </c>
    </row>
    <row r="239" spans="1:15" x14ac:dyDescent="0.35">
      <c r="A239" s="2" t="s">
        <v>291</v>
      </c>
      <c r="B239" s="3">
        <v>45732</v>
      </c>
      <c r="C239" s="2" t="s">
        <v>19</v>
      </c>
      <c r="D239" s="2" t="s">
        <v>20</v>
      </c>
      <c r="E239" s="4">
        <v>100</v>
      </c>
      <c r="F239" s="4">
        <v>1</v>
      </c>
      <c r="G239" s="4">
        <v>100</v>
      </c>
      <c r="H239" s="2" t="s">
        <v>29</v>
      </c>
      <c r="I239" s="2" t="s">
        <v>26</v>
      </c>
      <c r="J239" s="2" t="s">
        <v>39</v>
      </c>
      <c r="K239" s="2" t="s">
        <v>40</v>
      </c>
      <c r="L239">
        <v>3</v>
      </c>
      <c r="M239">
        <v>2025</v>
      </c>
      <c r="N239" s="2" t="str">
        <v>2025-03</v>
      </c>
      <c r="O239" s="1" t="str">
        <f t="shared" si="3"/>
        <v>Completed</v>
      </c>
    </row>
    <row r="240" spans="1:15" x14ac:dyDescent="0.35">
      <c r="A240" s="2" t="s">
        <v>292</v>
      </c>
      <c r="B240" s="3">
        <v>45738</v>
      </c>
      <c r="C240" s="2" t="s">
        <v>33</v>
      </c>
      <c r="D240" s="2" t="s">
        <v>20</v>
      </c>
      <c r="E240" s="4">
        <v>150</v>
      </c>
      <c r="F240" s="4">
        <v>5</v>
      </c>
      <c r="G240" s="4">
        <v>750</v>
      </c>
      <c r="H240" s="2" t="s">
        <v>57</v>
      </c>
      <c r="I240" s="2" t="s">
        <v>38</v>
      </c>
      <c r="J240" s="2" t="s">
        <v>27</v>
      </c>
      <c r="K240" s="2" t="s">
        <v>40</v>
      </c>
      <c r="L240">
        <v>3</v>
      </c>
      <c r="M240">
        <v>2025</v>
      </c>
      <c r="N240" s="2" t="str">
        <v>2025-03</v>
      </c>
      <c r="O240" s="1" t="str">
        <f t="shared" si="3"/>
        <v>Completed</v>
      </c>
    </row>
    <row r="241" spans="1:15" x14ac:dyDescent="0.35">
      <c r="A241" s="2" t="s">
        <v>293</v>
      </c>
      <c r="B241" s="3">
        <v>45697</v>
      </c>
      <c r="C241" s="2" t="s">
        <v>33</v>
      </c>
      <c r="D241" s="2" t="s">
        <v>20</v>
      </c>
      <c r="E241" s="4">
        <v>150</v>
      </c>
      <c r="F241" s="4">
        <v>1</v>
      </c>
      <c r="G241" s="4">
        <v>150</v>
      </c>
      <c r="H241" s="2" t="s">
        <v>25</v>
      </c>
      <c r="I241" s="2" t="s">
        <v>26</v>
      </c>
      <c r="J241" s="2" t="s">
        <v>58</v>
      </c>
      <c r="K241" s="2" t="s">
        <v>23</v>
      </c>
      <c r="L241">
        <v>2</v>
      </c>
      <c r="M241">
        <v>2025</v>
      </c>
      <c r="N241" s="2" t="str">
        <v>2025-02</v>
      </c>
      <c r="O241" s="1" t="str">
        <f t="shared" si="3"/>
        <v>Pending</v>
      </c>
    </row>
    <row r="242" spans="1:15" x14ac:dyDescent="0.35">
      <c r="A242" s="2" t="s">
        <v>294</v>
      </c>
      <c r="B242" s="3">
        <v>45746</v>
      </c>
      <c r="C242" s="2" t="s">
        <v>42</v>
      </c>
      <c r="D242" s="2" t="s">
        <v>20</v>
      </c>
      <c r="E242" s="4">
        <v>500</v>
      </c>
      <c r="F242" s="4">
        <v>4</v>
      </c>
      <c r="G242" s="4">
        <v>2000</v>
      </c>
      <c r="H242" s="2" t="s">
        <v>29</v>
      </c>
      <c r="I242" s="2" t="s">
        <v>15</v>
      </c>
      <c r="J242" s="2" t="s">
        <v>31</v>
      </c>
      <c r="K242" s="2" t="s">
        <v>23</v>
      </c>
      <c r="L242">
        <v>3</v>
      </c>
      <c r="M242">
        <v>2025</v>
      </c>
      <c r="N242" s="2" t="str">
        <v>2025-03</v>
      </c>
      <c r="O242" s="1" t="str">
        <f t="shared" si="3"/>
        <v>Pending</v>
      </c>
    </row>
    <row r="243" spans="1:15" x14ac:dyDescent="0.35">
      <c r="A243" s="2" t="s">
        <v>295</v>
      </c>
      <c r="B243" s="3">
        <v>45724</v>
      </c>
      <c r="C243" s="2" t="s">
        <v>42</v>
      </c>
      <c r="D243" s="2" t="s">
        <v>20</v>
      </c>
      <c r="E243" s="4">
        <v>500</v>
      </c>
      <c r="F243" s="4">
        <v>4</v>
      </c>
      <c r="G243" s="4">
        <v>2000</v>
      </c>
      <c r="H243" s="2" t="s">
        <v>72</v>
      </c>
      <c r="I243" s="2" t="s">
        <v>46</v>
      </c>
      <c r="J243" s="2" t="s">
        <v>58</v>
      </c>
      <c r="K243" s="2" t="s">
        <v>23</v>
      </c>
      <c r="L243">
        <v>3</v>
      </c>
      <c r="M243">
        <v>2025</v>
      </c>
      <c r="N243" s="2" t="str">
        <v>2025-03</v>
      </c>
      <c r="O243" s="1" t="str">
        <f t="shared" si="3"/>
        <v>Pending</v>
      </c>
    </row>
    <row r="244" spans="1:15" x14ac:dyDescent="0.35">
      <c r="A244" s="2" t="s">
        <v>296</v>
      </c>
      <c r="B244" s="3">
        <v>45721</v>
      </c>
      <c r="C244" s="2" t="s">
        <v>12</v>
      </c>
      <c r="D244" s="2" t="s">
        <v>13</v>
      </c>
      <c r="E244" s="4">
        <v>60</v>
      </c>
      <c r="F244" s="4">
        <v>2</v>
      </c>
      <c r="G244" s="4">
        <v>120</v>
      </c>
      <c r="H244" s="2" t="s">
        <v>72</v>
      </c>
      <c r="I244" s="2" t="s">
        <v>38</v>
      </c>
      <c r="J244" s="2" t="s">
        <v>27</v>
      </c>
      <c r="K244" s="2" t="s">
        <v>40</v>
      </c>
      <c r="L244">
        <v>3</v>
      </c>
      <c r="M244">
        <v>2025</v>
      </c>
      <c r="N244" s="2" t="str">
        <v>2025-03</v>
      </c>
      <c r="O244" s="1" t="str">
        <f t="shared" si="3"/>
        <v>Completed</v>
      </c>
    </row>
    <row r="245" spans="1:15" x14ac:dyDescent="0.35">
      <c r="A245" s="2" t="s">
        <v>297</v>
      </c>
      <c r="B245" s="3">
        <v>45694</v>
      </c>
      <c r="C245" s="2" t="s">
        <v>42</v>
      </c>
      <c r="D245" s="2" t="s">
        <v>20</v>
      </c>
      <c r="E245" s="4">
        <v>500</v>
      </c>
      <c r="F245" s="4">
        <v>4</v>
      </c>
      <c r="G245" s="4">
        <v>2000</v>
      </c>
      <c r="H245" s="2" t="s">
        <v>14</v>
      </c>
      <c r="I245" s="2" t="s">
        <v>38</v>
      </c>
      <c r="J245" s="2" t="s">
        <v>31</v>
      </c>
      <c r="K245" s="2" t="s">
        <v>40</v>
      </c>
      <c r="L245">
        <v>2</v>
      </c>
      <c r="M245">
        <v>2025</v>
      </c>
      <c r="N245" s="2" t="str">
        <v>2025-02</v>
      </c>
      <c r="O245" s="1" t="str">
        <f t="shared" si="3"/>
        <v>Completed</v>
      </c>
    </row>
    <row r="246" spans="1:15" x14ac:dyDescent="0.35">
      <c r="A246" s="2" t="s">
        <v>298</v>
      </c>
      <c r="B246" s="3">
        <v>45692</v>
      </c>
      <c r="C246" s="2" t="s">
        <v>56</v>
      </c>
      <c r="D246" s="2" t="s">
        <v>20</v>
      </c>
      <c r="E246" s="4">
        <v>800</v>
      </c>
      <c r="F246" s="4">
        <v>1</v>
      </c>
      <c r="G246" s="4">
        <v>800</v>
      </c>
      <c r="H246" s="2" t="s">
        <v>54</v>
      </c>
      <c r="I246" s="2" t="s">
        <v>68</v>
      </c>
      <c r="J246" s="2" t="s">
        <v>31</v>
      </c>
      <c r="K246" s="2" t="s">
        <v>17</v>
      </c>
      <c r="L246">
        <v>2</v>
      </c>
      <c r="M246">
        <v>2025</v>
      </c>
      <c r="N246" s="2" t="str">
        <v>2025-02</v>
      </c>
      <c r="O246" s="1" t="str">
        <f t="shared" si="3"/>
        <v>Cancelled</v>
      </c>
    </row>
    <row r="247" spans="1:15" x14ac:dyDescent="0.35">
      <c r="A247" s="2" t="s">
        <v>299</v>
      </c>
      <c r="B247" s="3">
        <v>45733</v>
      </c>
      <c r="C247" s="2" t="s">
        <v>35</v>
      </c>
      <c r="D247" s="2" t="s">
        <v>36</v>
      </c>
      <c r="E247" s="4">
        <v>20</v>
      </c>
      <c r="F247" s="4">
        <v>2</v>
      </c>
      <c r="G247" s="4">
        <v>40</v>
      </c>
      <c r="H247" s="2" t="s">
        <v>57</v>
      </c>
      <c r="I247" s="2" t="s">
        <v>44</v>
      </c>
      <c r="J247" s="2" t="s">
        <v>16</v>
      </c>
      <c r="K247" s="2" t="s">
        <v>17</v>
      </c>
      <c r="L247">
        <v>3</v>
      </c>
      <c r="M247">
        <v>2025</v>
      </c>
      <c r="N247" s="2" t="str">
        <v>2025-03</v>
      </c>
      <c r="O247" s="1" t="str">
        <f t="shared" si="3"/>
        <v>Cancelled</v>
      </c>
    </row>
    <row r="248" spans="1:15" x14ac:dyDescent="0.35">
      <c r="A248" s="2" t="s">
        <v>300</v>
      </c>
      <c r="B248" s="3">
        <v>45746</v>
      </c>
      <c r="C248" s="2" t="s">
        <v>53</v>
      </c>
      <c r="D248" s="2" t="s">
        <v>36</v>
      </c>
      <c r="E248" s="4">
        <v>40</v>
      </c>
      <c r="F248" s="4">
        <v>1</v>
      </c>
      <c r="G248" s="4">
        <v>40</v>
      </c>
      <c r="H248" s="2" t="s">
        <v>43</v>
      </c>
      <c r="I248" s="2" t="s">
        <v>30</v>
      </c>
      <c r="J248" s="2" t="s">
        <v>16</v>
      </c>
      <c r="K248" s="2" t="s">
        <v>17</v>
      </c>
      <c r="L248">
        <v>3</v>
      </c>
      <c r="M248">
        <v>2025</v>
      </c>
      <c r="N248" s="2" t="str">
        <v>2025-03</v>
      </c>
      <c r="O248" s="1" t="str">
        <f t="shared" si="3"/>
        <v>Cancelled</v>
      </c>
    </row>
    <row r="249" spans="1:15" x14ac:dyDescent="0.35">
      <c r="A249" s="2" t="s">
        <v>301</v>
      </c>
      <c r="B249" s="3">
        <v>45721</v>
      </c>
      <c r="C249" s="2" t="s">
        <v>35</v>
      </c>
      <c r="D249" s="2" t="s">
        <v>36</v>
      </c>
      <c r="E249" s="4">
        <v>20</v>
      </c>
      <c r="F249" s="4">
        <v>2</v>
      </c>
      <c r="G249" s="4">
        <v>40</v>
      </c>
      <c r="H249" s="2" t="s">
        <v>72</v>
      </c>
      <c r="I249" s="2" t="s">
        <v>26</v>
      </c>
      <c r="J249" s="2" t="s">
        <v>16</v>
      </c>
      <c r="K249" s="2" t="s">
        <v>17</v>
      </c>
      <c r="L249">
        <v>3</v>
      </c>
      <c r="M249">
        <v>2025</v>
      </c>
      <c r="N249" s="2" t="str">
        <v>2025-03</v>
      </c>
      <c r="O249" s="1" t="str">
        <f t="shared" si="3"/>
        <v>Cancelled</v>
      </c>
    </row>
    <row r="250" spans="1:15" x14ac:dyDescent="0.35">
      <c r="A250" s="2" t="s">
        <v>302</v>
      </c>
      <c r="B250" s="3">
        <v>45724</v>
      </c>
      <c r="C250" s="2" t="s">
        <v>33</v>
      </c>
      <c r="D250" s="2" t="s">
        <v>20</v>
      </c>
      <c r="E250" s="4">
        <v>150</v>
      </c>
      <c r="F250" s="4">
        <v>3</v>
      </c>
      <c r="G250" s="4">
        <v>450</v>
      </c>
      <c r="H250" s="2" t="s">
        <v>21</v>
      </c>
      <c r="I250" s="2" t="s">
        <v>15</v>
      </c>
      <c r="J250" s="2" t="s">
        <v>16</v>
      </c>
      <c r="K250" s="2" t="s">
        <v>17</v>
      </c>
      <c r="L250">
        <v>3</v>
      </c>
      <c r="M250">
        <v>2025</v>
      </c>
      <c r="N250" s="2" t="str">
        <v>2025-03</v>
      </c>
      <c r="O250" s="1" t="str">
        <f t="shared" si="3"/>
        <v>Cancelled</v>
      </c>
    </row>
    <row r="251" spans="1:15" x14ac:dyDescent="0.35">
      <c r="A251" s="2" t="s">
        <v>303</v>
      </c>
      <c r="B251" s="3">
        <v>45707</v>
      </c>
      <c r="C251" s="2" t="s">
        <v>42</v>
      </c>
      <c r="D251" s="2" t="s">
        <v>20</v>
      </c>
      <c r="E251" s="4">
        <v>500</v>
      </c>
      <c r="F251" s="4">
        <v>4</v>
      </c>
      <c r="G251" s="4">
        <v>2000</v>
      </c>
      <c r="H251" s="2" t="s">
        <v>21</v>
      </c>
      <c r="I251" s="2" t="s">
        <v>63</v>
      </c>
      <c r="J251" s="2" t="s">
        <v>27</v>
      </c>
      <c r="K251" s="2" t="s">
        <v>40</v>
      </c>
      <c r="L251">
        <v>2</v>
      </c>
      <c r="M251">
        <v>2025</v>
      </c>
      <c r="N251" s="2" t="str">
        <v>2025-02</v>
      </c>
      <c r="O251" s="1" t="str">
        <f t="shared" si="3"/>
        <v>Completed</v>
      </c>
    </row>
  </sheetData>
  <autoFilter ref="A1:P251" xr:uid="{97FCD51C-84E8-4AA7-BE92-C6500495DDD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narasimha mallugari</dc:creator>
  <cp:lastModifiedBy>narasimha mallugari</cp:lastModifiedBy>
  <dcterms:created xsi:type="dcterms:W3CDTF">2026-09-05T08:04:09Z</dcterms:created>
  <dcterms:modified xsi:type="dcterms:W3CDTF">2026-09-07T07:06:30Z</dcterms:modified>
</cp:coreProperties>
</file>